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Bruce工作資料\程式語法\bas_20230415\各種Form sample\"/>
    </mc:Choice>
  </mc:AlternateContent>
  <bookViews>
    <workbookView xWindow="0" yWindow="0" windowWidth="23040" windowHeight="8496" activeTab="1"/>
  </bookViews>
  <sheets>
    <sheet name="工作表欄位設定表" sheetId="15" r:id="rId1"/>
    <sheet name="TEST1" sheetId="23" r:id="rId2"/>
    <sheet name="各月狀況表base" sheetId="22" state="hidden" r:id="rId3"/>
    <sheet name="累計狀況表base" sheetId="21" state="hidden" r:id="rId4"/>
  </sheets>
  <functionGroups builtInGroupCount="18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________FLL2" localSheetId="2" hidden="1">#REF!</definedName>
    <definedName name="__________FLL2" localSheetId="3" hidden="1">#REF!</definedName>
    <definedName name="__________FLL2" hidden="1">#REF!</definedName>
    <definedName name="_________FLL2" localSheetId="2" hidden="1">#REF!</definedName>
    <definedName name="_________FLL2" localSheetId="3" hidden="1">#REF!</definedName>
    <definedName name="_________FLL2" hidden="1">#REF!</definedName>
    <definedName name="________FLL2" localSheetId="2" hidden="1">#REF!</definedName>
    <definedName name="________FLL2" localSheetId="3" hidden="1">#REF!</definedName>
    <definedName name="________FLL2" hidden="1">#REF!</definedName>
    <definedName name="_______FLL2" localSheetId="2" hidden="1">#REF!</definedName>
    <definedName name="_______FLL2" localSheetId="3" hidden="1">#REF!</definedName>
    <definedName name="_______FLL2" hidden="1">#REF!</definedName>
    <definedName name="_____FLL2" localSheetId="2" hidden="1">#REF!</definedName>
    <definedName name="_____FLL2" localSheetId="3" hidden="1">#REF!</definedName>
    <definedName name="_____FLL2" hidden="1">#REF!</definedName>
    <definedName name="____cjs686" localSheetId="2" hidden="1">#REF!</definedName>
    <definedName name="____cjs686" localSheetId="3" hidden="1">#REF!</definedName>
    <definedName name="____cjs686" hidden="1">#REF!</definedName>
    <definedName name="____FLL2" localSheetId="2" hidden="1">#REF!</definedName>
    <definedName name="____FLL2" localSheetId="3" hidden="1">#REF!</definedName>
    <definedName name="____FLL2" hidden="1">#REF!</definedName>
    <definedName name="___cjs686" localSheetId="2" hidden="1">#REF!</definedName>
    <definedName name="___cjs686" localSheetId="3" hidden="1">#REF!</definedName>
    <definedName name="___cjs686" hidden="1">#REF!</definedName>
    <definedName name="___FLL2" localSheetId="2" hidden="1">#REF!</definedName>
    <definedName name="___FLL2" localSheetId="3" hidden="1">#REF!</definedName>
    <definedName name="___FLL2" hidden="1">#REF!</definedName>
    <definedName name="__123Graph_A" localSheetId="2" hidden="1">[1]DRUM!#REF!</definedName>
    <definedName name="__123Graph_A" localSheetId="3" hidden="1">[1]DRUM!#REF!</definedName>
    <definedName name="__123Graph_A" hidden="1">[1]DRUM!#REF!</definedName>
    <definedName name="__123Graph_B" localSheetId="2" hidden="1">[1]DRUM!#REF!</definedName>
    <definedName name="__123Graph_B" localSheetId="3" hidden="1">[1]DRUM!#REF!</definedName>
    <definedName name="__123Graph_B" hidden="1">[1]DRUM!#REF!</definedName>
    <definedName name="__123Graph_C" localSheetId="2" hidden="1">[1]DRUM!#REF!</definedName>
    <definedName name="__123Graph_C" localSheetId="3" hidden="1">[1]DRUM!#REF!</definedName>
    <definedName name="__123Graph_C" hidden="1">[1]DRUM!#REF!</definedName>
    <definedName name="__123Graph_D" localSheetId="2" hidden="1">[1]DRUM!#REF!</definedName>
    <definedName name="__123Graph_D" localSheetId="3" hidden="1">[1]DRUM!#REF!</definedName>
    <definedName name="__123Graph_D" hidden="1">[1]DRUM!#REF!</definedName>
    <definedName name="__123Graph_X" localSheetId="2" hidden="1">[1]DRUM!#REF!</definedName>
    <definedName name="__123Graph_X" localSheetId="3" hidden="1">[1]DRUM!#REF!</definedName>
    <definedName name="__123Graph_X" hidden="1">[1]DRUM!#REF!</definedName>
    <definedName name="__cjs686" localSheetId="2" hidden="1">#REF!</definedName>
    <definedName name="__cjs686" localSheetId="3" hidden="1">#REF!</definedName>
    <definedName name="__cjs686" hidden="1">#REF!</definedName>
    <definedName name="__FLL2" localSheetId="2" hidden="1">#REF!</definedName>
    <definedName name="__FLL2" localSheetId="3" hidden="1">#REF!</definedName>
    <definedName name="__FLL2" hidden="1">#REF!</definedName>
    <definedName name="_cjs686" localSheetId="2" hidden="1">#REF!</definedName>
    <definedName name="_cjs686" localSheetId="3" hidden="1">#REF!</definedName>
    <definedName name="_cjs686" hidden="1">#REF!</definedName>
    <definedName name="_Dist_Bin" localSheetId="2" hidden="1">#REF!</definedName>
    <definedName name="_Dist_Bin" localSheetId="3" hidden="1">#REF!</definedName>
    <definedName name="_Dist_Bin" hidden="1">#REF!</definedName>
    <definedName name="_Dist_Values" localSheetId="2" hidden="1">#REF!</definedName>
    <definedName name="_Dist_Values" localSheetId="3" hidden="1">#REF!</definedName>
    <definedName name="_Dist_Values" hidden="1">#REF!</definedName>
    <definedName name="_FAB4" localSheetId="2" hidden="1">'[2]F4-F7'!#REF!</definedName>
    <definedName name="_FAB4" localSheetId="3" hidden="1">'[2]F4-F7'!#REF!</definedName>
    <definedName name="_FAB4" hidden="1">'[2]F4-F7'!#REF!</definedName>
    <definedName name="_FAB6" localSheetId="2" hidden="1">#REF!</definedName>
    <definedName name="_FAB6" localSheetId="3" hidden="1">#REF!</definedName>
    <definedName name="_FAB6" hidden="1">#REF!</definedName>
    <definedName name="_Fill" localSheetId="2" hidden="1">#REF!</definedName>
    <definedName name="_Fill" localSheetId="3" hidden="1">#REF!</definedName>
    <definedName name="_Fill" hidden="1">#REF!</definedName>
    <definedName name="_FILL2" localSheetId="2" hidden="1">[3]날개벽수량표!#REF!</definedName>
    <definedName name="_FILL2" localSheetId="3" hidden="1">[3]날개벽수량표!#REF!</definedName>
    <definedName name="_FILL2" hidden="1">[3]날개벽수량표!#REF!</definedName>
    <definedName name="_xlnm._FilterDatabase" localSheetId="2" hidden="1">各月狀況表base!$A$3:$L$3</definedName>
    <definedName name="_xlnm._FilterDatabase" localSheetId="3" hidden="1">累計狀況表base!$A$3:$AB$3</definedName>
    <definedName name="_xlnm._FilterDatabase" hidden="1">#REF!</definedName>
    <definedName name="_FLL2" localSheetId="2" hidden="1">#REF!</definedName>
    <definedName name="_FLL2" localSheetId="3" hidden="1">#REF!</definedName>
    <definedName name="_FLL2" hidden="1">#REF!</definedName>
    <definedName name="_Key1" localSheetId="2" hidden="1">#REF!</definedName>
    <definedName name="_Key1" localSheetId="3" hidden="1">#REF!</definedName>
    <definedName name="_Key1" hidden="1">#REF!</definedName>
    <definedName name="_Key2" localSheetId="2" hidden="1">#REF!</definedName>
    <definedName name="_Key2" localSheetId="3" hidden="1">#REF!</definedName>
    <definedName name="_Key2" hidden="1">#REF!</definedName>
    <definedName name="_MatInverse_In" localSheetId="2" hidden="1">[4]總表!#REF!</definedName>
    <definedName name="_MatInverse_In" localSheetId="3" hidden="1">[4]總表!#REF!</definedName>
    <definedName name="_MatInverse_In" hidden="1">[4]總表!#REF!</definedName>
    <definedName name="_MatInverse_Out" hidden="1">[4]總表!$A$1:$A$14</definedName>
    <definedName name="_Order1" hidden="1">255</definedName>
    <definedName name="_Order2" hidden="1">255</definedName>
    <definedName name="_Parse_In" hidden="1">[5]Sheet1!$F$319:$P$580</definedName>
    <definedName name="_Parse_Out" hidden="1">[5]Sheet1!$F$319:$P$580</definedName>
    <definedName name="_Regression_Int" hidden="1">1</definedName>
    <definedName name="_Sort" localSheetId="2" hidden="1">#REF!</definedName>
    <definedName name="_Sort" localSheetId="3" hidden="1">#REF!</definedName>
    <definedName name="_Sort" hidden="1">#REF!</definedName>
    <definedName name="_t1" localSheetId="2" hidden="1">#REF!</definedName>
    <definedName name="_t1" localSheetId="3" hidden="1">#REF!</definedName>
    <definedName name="_t1" hidden="1">#REF!</definedName>
    <definedName name="_t2" localSheetId="2" hidden="1">#REF!</definedName>
    <definedName name="_t2" localSheetId="3" hidden="1">#REF!</definedName>
    <definedName name="_t2" hidden="1">#REF!</definedName>
    <definedName name="_노임단가" localSheetId="2" hidden="1">[6]공예을!#REF!</definedName>
    <definedName name="_노임단가" localSheetId="3" hidden="1">[6]공예을!#REF!</definedName>
    <definedName name="_노임단가" hidden="1">[6]공예을!#REF!</definedName>
    <definedName name="´cAE°eE¹" localSheetId="2" hidden="1">#REF!</definedName>
    <definedName name="´cAE°eE¹" localSheetId="3" hidden="1">#REF!</definedName>
    <definedName name="´cAE°eE¹" hidden="1">#REF!</definedName>
    <definedName name="￠￥cAE¡ÆeEⓒo" localSheetId="2" hidden="1">#REF!</definedName>
    <definedName name="￠￥cAE¡ÆeEⓒo" localSheetId="3" hidden="1">#REF!</definedName>
    <definedName name="￠￥cAE¡ÆeEⓒo" hidden="1">#REF!</definedName>
    <definedName name="aa" localSheetId="2" hidden="1">[7]FAB별!#REF!</definedName>
    <definedName name="aa" localSheetId="3" hidden="1">[7]FAB별!#REF!</definedName>
    <definedName name="aa" hidden="1">[7]FAB별!#REF!</definedName>
    <definedName name="AccessDatabase" hidden="1">"C:\CCChangc\Project\Fab6PRPO.mdb"</definedName>
    <definedName name="ACCLINK.XLS_Localization_Table_List" hidden="1">"$A$1:$B$11"</definedName>
    <definedName name="ACCLINK.XLS_Localization_Table_List1" hidden="1">"$A$13:$B$31"</definedName>
    <definedName name="ACCLINK.XLS_Localization_Table_List10" hidden="1">"$A$13:$B$33"</definedName>
    <definedName name="ACCLINK.XLS_Localization_Table_List11" hidden="1">"$A$13:$B$33"</definedName>
    <definedName name="ACCLINK.XLS_Localization_Table_List12" hidden="1">"$A$13:$B$33"</definedName>
    <definedName name="ACCLINK.XLS_Localization_Table_List13" hidden="1">"$A$13:$B$33"</definedName>
    <definedName name="ACCLINK.XLS_Localization_Table_List14" hidden="1">"$A$13:$B$33"</definedName>
    <definedName name="ACCLINK.XLS_Localization_Table_List15" hidden="1">"$A$13:$B$33"</definedName>
    <definedName name="ACCLINK.XLS_Localization_Table_List16" hidden="1">"$A$13:$B$33"</definedName>
    <definedName name="ACCLINK.XLS_Localization_Table_List17" hidden="1">"$A$13:$B$33"</definedName>
    <definedName name="ACCLINK.XLS_Localization_Table_List18" hidden="1">"$A$13:$B$33"</definedName>
    <definedName name="ACCLINK.XLS_Localization_Table_List19" hidden="1">"$A$13:$B$33"</definedName>
    <definedName name="ACCLINK.XLS_Localization_Table_List2" hidden="1">"$A$13:$B$31"</definedName>
    <definedName name="ACCLINK.XLS_Localization_Table_List3" hidden="1">"$A$13:$B$31"</definedName>
    <definedName name="ACCLINK.XLS_Localization_Table_List4" hidden="1">"$A$13:$B$31"</definedName>
    <definedName name="ACCLINK.XLS_Localization_Table_List5" hidden="1">"$A$13:$B$31"</definedName>
    <definedName name="ACCLINK.XLS_Localization_Table_List6" hidden="1">"$A$13:$B$31"</definedName>
    <definedName name="ACCLINK.XLS_Localization_Table_List7" hidden="1">"$A$13:$B$31"</definedName>
    <definedName name="ACCLINK.XLS_Localization_Table_List8" hidden="1">"$A$13:$B$31"</definedName>
    <definedName name="ACCLINK.XLS_Localization_Table_List9" hidden="1">"$A$13:$B$33"</definedName>
    <definedName name="act" localSheetId="2" hidden="1">#REF!</definedName>
    <definedName name="act" localSheetId="3" hidden="1">#REF!</definedName>
    <definedName name="act" hidden="1">#REF!</definedName>
    <definedName name="AFAE" hidden="1">{"'220승압(공문첨부)'!$A$3:$E$123"}</definedName>
    <definedName name="anscount" hidden="1">1</definedName>
    <definedName name="cover" localSheetId="2" hidden="1">#REF!</definedName>
    <definedName name="cover" localSheetId="3" hidden="1">#REF!</definedName>
    <definedName name="cover" hidden="1">#REF!</definedName>
    <definedName name="CT" localSheetId="2" hidden="1">[8]FAB별!#REF!</definedName>
    <definedName name="CT" localSheetId="3" hidden="1">[8]FAB별!#REF!</definedName>
    <definedName name="CT" hidden="1">[8]FAB별!#REF!</definedName>
    <definedName name="cycle" localSheetId="2" hidden="1">[9]FAB별!#REF!</definedName>
    <definedName name="cycle" localSheetId="3" hidden="1">[9]FAB별!#REF!</definedName>
    <definedName name="cycle" hidden="1">[9]FAB별!#REF!</definedName>
    <definedName name="DataBase1" hidden="1">'[10]1月維修費用'!$A$10:$H$158</definedName>
    <definedName name="ErrName301948010" hidden="1">{0,0,0,0;0,0,0,0;0,0,0,0;0,0,0,0;0,0,0,0;0,0,0,0}</definedName>
    <definedName name="F5TF" localSheetId="2" hidden="1">[11]FAB별!#REF!</definedName>
    <definedName name="F5TF" localSheetId="3" hidden="1">[11]FAB별!#REF!</definedName>
    <definedName name="F5TF" hidden="1">[11]FAB별!#REF!</definedName>
    <definedName name="FFAB7" localSheetId="2" hidden="1">[12]FAB별!#REF!</definedName>
    <definedName name="FFAB7" localSheetId="3" hidden="1">[12]FAB별!#REF!</definedName>
    <definedName name="FFAB7" hidden="1">[12]FAB별!#REF!</definedName>
    <definedName name="fxd" localSheetId="2" hidden="1">[13]FAB!#REF!</definedName>
    <definedName name="fxd" localSheetId="3" hidden="1">[13]FAB!#REF!</definedName>
    <definedName name="fxd" hidden="1">[13]FAB!#REF!</definedName>
    <definedName name="HIGH" localSheetId="2" hidden="1">[14]FAB별!#REF!</definedName>
    <definedName name="HIGH" localSheetId="3" hidden="1">[14]FAB별!#REF!</definedName>
    <definedName name="HIGH" hidden="1">[14]FAB별!#REF!</definedName>
    <definedName name="HTML_CodePage" hidden="1">950</definedName>
    <definedName name="HTML_Control" hidden="1">{"'台中工業區建廠預算 '!$A$1:$S$37"}</definedName>
    <definedName name="HTML_Control1" hidden="1">{"'7945'!$E$1:$P$125","'7945'!$B$1:$P$126","'summary'!$B$6:$G$14","'7945'!$A$1:$P$125"}</definedName>
    <definedName name="HTML_Description" hidden="1">""</definedName>
    <definedName name="HTML_Email" hidden="1">""</definedName>
    <definedName name="HTML_Header" hidden="1">"台中工業區建廠預算"</definedName>
    <definedName name="HTML_LastUpdate" hidden="1">"90/3/28"</definedName>
    <definedName name="HTML_LineAfter" hidden="1">FALSE</definedName>
    <definedName name="HTML_LineBefore" hidden="1">FALSE</definedName>
    <definedName name="HTML_Name" hidden="1">"Wintek"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"E:\My Documents\MyHTML.htm"</definedName>
    <definedName name="HTML_PathTemplate" hidden="1">"D:\ASML-TWINSCAN\COI\MyHTML.htm"</definedName>
    <definedName name="HTML_Title" hidden="1">"勝園科技建廠預算表"</definedName>
    <definedName name="k" hidden="1">{"'7945'!$E$1:$P$125","'7945'!$B$1:$P$126","'summary'!$B$6:$G$14","'7945'!$A$1:$P$125"}</definedName>
    <definedName name="Language">[15]Setup!$B$4</definedName>
    <definedName name="limcount" hidden="1">2</definedName>
    <definedName name="M" localSheetId="2" hidden="1">#REF!</definedName>
    <definedName name="M" localSheetId="3" hidden="1">#REF!</definedName>
    <definedName name="M" hidden="1">#REF!</definedName>
    <definedName name="PHOTO" localSheetId="2" hidden="1">[16]FAB별!#REF!</definedName>
    <definedName name="PHOTO" localSheetId="3" hidden="1">[16]FAB별!#REF!</definedName>
    <definedName name="PHOTO" hidden="1">[16]FAB별!#REF!</definedName>
    <definedName name="rjfl" localSheetId="2" hidden="1">#REF!</definedName>
    <definedName name="rjfl" localSheetId="3" hidden="1">#REF!</definedName>
    <definedName name="rjfl" hidden="1">#REF!</definedName>
    <definedName name="SAM" hidden="1">{#N/A,#N/A,TRUE,"Basic";#N/A,#N/A,TRUE,"EXT-TABLE";#N/A,#N/A,TRUE,"STEEL";#N/A,#N/A,TRUE,"INT-Table";#N/A,#N/A,TRUE,"STEEL";#N/A,#N/A,TRUE,"Door"}</definedName>
    <definedName name="SAPBEXdnldView" hidden="1">"42XKIEKHDV3X4FKY98YK4VM54"</definedName>
    <definedName name="SAPBEXsysID" hidden="1">"BWP"</definedName>
    <definedName name="sd" localSheetId="2" hidden="1">#REF!</definedName>
    <definedName name="sd" localSheetId="3" hidden="1">#REF!</definedName>
    <definedName name="sd" hidden="1">#REF!</definedName>
    <definedName name="sencount" hidden="1">2</definedName>
    <definedName name="SHELTER" hidden="1">{#N/A,#N/A,TRUE,"Basic";#N/A,#N/A,TRUE,"EXT-TABLE";#N/A,#N/A,TRUE,"STEEL";#N/A,#N/A,TRUE,"INT-Table";#N/A,#N/A,TRUE,"STEEL";#N/A,#N/A,TRUE,"Door"}</definedName>
    <definedName name="ssss" hidden="1">{#N/A,#N/A,TRUE,"Basic";#N/A,#N/A,TRUE,"EXT-TABLE";#N/A,#N/A,TRUE,"STEEL";#N/A,#N/A,TRUE,"INT-Table";#N/A,#N/A,TRUE,"STEEL";#N/A,#N/A,TRUE,"Door"}</definedName>
    <definedName name="Team_Members">OFFSET([17]組織人員設定!$C$5,,MATCH([17]時程表!$C1,Team_Name,0)-1,COUNTA(OFFSET([17]組織人員設定!$C$5,,MATCH([17]時程表!$C1,Team_Name,0)-1,65533,)),)</definedName>
    <definedName name="Team_Name">OFFSET([17]組織人員設定!$C$4,,,,COUNTA([17]組織人員設定!$C$4:$V$4))</definedName>
    <definedName name="teri" hidden="1">{#N/A,#N/A,TRUE,"Basic";#N/A,#N/A,TRUE,"EXT-TABLE";#N/A,#N/A,TRUE,"STEEL";#N/A,#N/A,TRUE,"INT-Table";#N/A,#N/A,TRUE,"STEEL";#N/A,#N/A,TRUE,"Door"}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ffsfs" hidden="1">{#N/A,#N/A,TRUE,"Basic";#N/A,#N/A,TRUE,"EXT-TABLE";#N/A,#N/A,TRUE,"STEEL";#N/A,#N/A,TRUE,"INT-Table";#N/A,#N/A,TRUE,"STEEL";#N/A,#N/A,TRUE,"Door"}</definedName>
    <definedName name="vyptoji" hidden="1">{"stand",#N/A,TRUE,"공종단가";"mtrvl",#N/A,TRUE,"단가산출";"gis170vl",#N/A,TRUE,"단가산출";"gis23vl",#N/A,TRUE,"단가산출";"cpdlavl",#N/A,TRUE,"단가산출";"BUSVL",#N/A,TRUE,"단가산출";"CABLE",#N/A,TRUE,"단가산출";"MTRST",#N/A,TRUE,"MTR품";"GIS170ST",#N/A,TRUE,"170GIS품";"GIS23ST",#N/A,TRUE,"25.8GIS품";"GITAST",#N/A,TRUE,"잡설비품";"STST",#N/A,TRUE,"표준공종"}</definedName>
    <definedName name="Waste" hidden="1">{#N/A,#N/A,TRUE,"Basic";#N/A,#N/A,TRUE,"EXT-TABLE";#N/A,#N/A,TRUE,"STEEL";#N/A,#N/A,TRUE,"INT-Table";#N/A,#N/A,TRUE,"STEEL";#N/A,#N/A,TRUE,"Door"}</definedName>
    <definedName name="WFC" localSheetId="2" hidden="1">#REF!</definedName>
    <definedName name="WFC" localSheetId="3" hidden="1">#REF!</definedName>
    <definedName name="WFC" hidden="1">#REF!</definedName>
    <definedName name="WORKSHOP" hidden="1">{#N/A,#N/A,TRUE,"Basic";#N/A,#N/A,TRUE,"EXT-TABLE";#N/A,#N/A,TRUE,"STEEL";#N/A,#N/A,TRUE,"INT-Table";#N/A,#N/A,TRUE,"STEEL";#N/A,#N/A,TRUE,"Door"}</definedName>
    <definedName name="wrn.BM." hidden="1">{#N/A,#N/A,TRUE,"Basic";#N/A,#N/A,TRUE,"EXT-TABLE";#N/A,#N/A,TRUE,"STEEL";#N/A,#N/A,TRUE,"INT-Table";#N/A,#N/A,TRUE,"STEEL";#N/A,#N/A,TRUE,"Door"}</definedName>
    <definedName name="wrn.chi._.tiÆt." hidden="1">{#N/A,#N/A,FALSE,"Chi tiÆt"}</definedName>
    <definedName name="wrn.FIII._.HOOK._.UP._.견적서." hidden="1">{#N/A,#N/A,TRUE,"960318-1";#N/A,#N/A,TRUE,"960318-2";#N/A,#N/A,TRUE,"960318-3"}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송변전공종단가." hidden="1">{#N/A,#N/A,TRUE,"공종단가";#N/A,#N/A,TRUE,"Mtr단가";#N/A,#N/A,TRUE,"170GIS단가";#N/A,#N/A,TRUE,"258GIS단가";#N/A,#N/A,TRUE,"잡단가A";#N/A,#N/A,TRUE,"잡단가B";#N/A,#N/A,TRUE,"잡단가C";#N/A,#N/A,TRUE,"토목방재단가";#N/A,#N/A,TRUE,"MTR품";#N/A,#N/A,TRUE,"170GIS품";#N/A,#N/A,TRUE,"25.8GIS품";#N/A,#N/A,TRUE,"잡설비품";#N/A,#N/A,TRUE,"토목방재";#N/A,#N/A,TRUE,"시중노임"}</definedName>
    <definedName name="wrn.표준공종단가." hidden="1">{"stand",#N/A,TRUE,"공종단가";"mtrvl",#N/A,TRUE,"단가산출";"gis170vl",#N/A,TRUE,"단가산출";"gis23vl",#N/A,TRUE,"단가산출";"cpdlavl",#N/A,TRUE,"단가산출";"BUSVL",#N/A,TRUE,"단가산출";"CABLE",#N/A,TRUE,"단가산출";"MTRST",#N/A,TRUE,"MTR품";"GIS170ST",#N/A,TRUE,"170GIS품";"GIS23ST",#N/A,TRUE,"25.8GIS품";"GITAST",#N/A,TRUE,"잡설비품";"STST",#N/A,TRUE,"표준공종"}</definedName>
    <definedName name="wrn.현장._.NCR._.분석." hidden="1">{#N/A,#N/A,FALSE,"현장 NCR 분석";#N/A,#N/A,FALSE,"현장품질감사";#N/A,#N/A,FALSE,"현장품질감사"}</definedName>
    <definedName name="Y2K" localSheetId="2" hidden="1">#REF!</definedName>
    <definedName name="Y2K" localSheetId="3" hidden="1">#REF!</definedName>
    <definedName name="Y2K" hidden="1">#REF!</definedName>
    <definedName name="ynkim" hidden="1">{#N/A,#N/A,TRUE,"Basic";#N/A,#N/A,TRUE,"EXT-TABLE";#N/A,#N/A,TRUE,"STEEL";#N/A,#N/A,TRUE,"INT-Table";#N/A,#N/A,TRUE,"STEEL";#N/A,#N/A,TRUE,"Door"}</definedName>
    <definedName name="Z_35F4EDED_B25B_4980_9D32_2B143F5B9FD2_.wvu.Cols" localSheetId="2" hidden="1">#REF!,#REF!,#REF!,#REF!,#REF!</definedName>
    <definedName name="Z_35F4EDED_B25B_4980_9D32_2B143F5B9FD2_.wvu.Cols" localSheetId="3" hidden="1">#REF!,#REF!,#REF!,#REF!,#REF!</definedName>
    <definedName name="Z_35F4EDED_B25B_4980_9D32_2B143F5B9FD2_.wvu.Cols" hidden="1">#REF!,#REF!,#REF!,#REF!,#REF!</definedName>
    <definedName name="Z_35F4EDED_B25B_4980_9D32_2B143F5B9FD2_.wvu.FilterData" localSheetId="2" hidden="1">#REF!</definedName>
    <definedName name="Z_35F4EDED_B25B_4980_9D32_2B143F5B9FD2_.wvu.FilterData" localSheetId="3" hidden="1">#REF!</definedName>
    <definedName name="Z_35F4EDED_B25B_4980_9D32_2B143F5B9FD2_.wvu.FilterData" hidden="1">#REF!</definedName>
    <definedName name="Z_35F4EDED_B25B_4980_9D32_2B143F5B9FD2_.wvu.PrintArea" localSheetId="2" hidden="1">#REF!</definedName>
    <definedName name="Z_35F4EDED_B25B_4980_9D32_2B143F5B9FD2_.wvu.PrintArea" localSheetId="3" hidden="1">#REF!</definedName>
    <definedName name="Z_35F4EDED_B25B_4980_9D32_2B143F5B9FD2_.wvu.PrintArea" hidden="1">#REF!</definedName>
    <definedName name="ㄱㄷㄱㄷ" hidden="1">{#N/A,#N/A,FALSE,"현장 NCR 분석";#N/A,#N/A,FALSE,"현장품질감사";#N/A,#N/A,FALSE,"현장품질감사"}</definedName>
    <definedName name="ㄱ미" hidden="1">{#N/A,#N/A,TRUE,"Basic";#N/A,#N/A,TRUE,"EXT-TABLE";#N/A,#N/A,TRUE,"STEEL";#N/A,#N/A,TRUE,"INT-Table";#N/A,#N/A,TRUE,"STEEL";#N/A,#N/A,TRUE,"Door"}</definedName>
    <definedName name="가" hidden="1">{#N/A,#N/A,TRUE,"960318-1";#N/A,#N/A,TRUE,"960318-2";#N/A,#N/A,TRUE,"960318-3"}</definedName>
    <definedName name="가나다" localSheetId="2" hidden="1">#REF!</definedName>
    <definedName name="가나다" localSheetId="3" hidden="1">#REF!</definedName>
    <definedName name="가나다" hidden="1">#REF!</definedName>
    <definedName name="감" hidden="1">{#N/A,#N/A,TRUE,"Basic";#N/A,#N/A,TRUE,"EXT-TABLE";#N/A,#N/A,TRUE,"STEEL";#N/A,#N/A,TRUE,"INT-Table";#N/A,#N/A,TRUE,"STEEL";#N/A,#N/A,TRUE,"Door"}</definedName>
    <definedName name="갑지" hidden="1">{#N/A,#N/A,TRUE,"960318-1";#N/A,#N/A,TRUE,"960318-2";#N/A,#N/A,TRUE,"960318-3"}</definedName>
    <definedName name="검토서D" hidden="1">{#N/A,#N/A,FALSE,"현장 NCR 분석";#N/A,#N/A,FALSE,"현장품질감사";#N/A,#N/A,FALSE,"현장품질감사"}</definedName>
    <definedName name="겉표지" hidden="1">{#N/A,#N/A,TRUE,"Basic";#N/A,#N/A,TRUE,"EXT-TABLE";#N/A,#N/A,TRUE,"STEEL";#N/A,#N/A,TRUE,"INT-Table";#N/A,#N/A,TRUE,"STEEL";#N/A,#N/A,TRUE,"Door"}</definedName>
    <definedName name="경영" localSheetId="2" hidden="1">[18]FAB별!#REF!</definedName>
    <definedName name="경영" localSheetId="3" hidden="1">[18]FAB별!#REF!</definedName>
    <definedName name="경영" hidden="1">[18]FAB별!#REF!</definedName>
    <definedName name="경영방침" localSheetId="2" hidden="1">[18]FAB별!#REF!</definedName>
    <definedName name="경영방침" localSheetId="3" hidden="1">[18]FAB별!#REF!</definedName>
    <definedName name="경영방침" hidden="1">[18]FAB별!#REF!</definedName>
    <definedName name="경쟁사1" localSheetId="2" hidden="1">[12]FAB별!#REF!</definedName>
    <definedName name="경쟁사1" localSheetId="3" hidden="1">[12]FAB별!#REF!</definedName>
    <definedName name="경쟁사1" hidden="1">[12]FAB별!#REF!</definedName>
    <definedName name="경쟁사2" localSheetId="2" hidden="1">#REF!</definedName>
    <definedName name="경쟁사2" localSheetId="3" hidden="1">#REF!</definedName>
    <definedName name="경쟁사2" hidden="1">#REF!</definedName>
    <definedName name="계획" localSheetId="2" hidden="1">[19]FAB별!#REF!</definedName>
    <definedName name="계획" localSheetId="3" hidden="1">[19]FAB별!#REF!</definedName>
    <definedName name="계획" hidden="1">[19]FAB별!#REF!</definedName>
    <definedName name="고문" hidden="1">{#N/A,#N/A,FALSE,"현장 NCR 분석";#N/A,#N/A,FALSE,"현장품질감사";#N/A,#N/A,FALSE,"현장품질감사"}</definedName>
    <definedName name="공부" hidden="1">{#N/A,#N/A,TRUE,"960318-1";#N/A,#N/A,TRUE,"960318-2";#N/A,#N/A,TRUE,"960318-3"}</definedName>
    <definedName name="그냥" hidden="1">{#N/A,#N/A,FALSE,"현장 NCR 분석";#N/A,#N/A,FALSE,"현장품질감사";#N/A,#N/A,FALSE,"현장품질감사"}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별" hidden="1">{#N/A,#N/A,FALSE,"현장 NCR 분석";#N/A,#N/A,FALSE,"현장품질감사";#N/A,#N/A,FALSE,"현장품질감사"}</definedName>
    <definedName name="김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나" hidden="1">{#N/A,#N/A,FALSE,"현장 NCR 분석";#N/A,#N/A,FALSE,"현장품질감사";#N/A,#N/A,FALSE,"현장품질감사"}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당초계획" localSheetId="2" hidden="1">#REF!</definedName>
    <definedName name="당초계획" localSheetId="3" hidden="1">#REF!</definedName>
    <definedName name="당초계획" hidden="1">#REF!</definedName>
    <definedName name="대운반거리" localSheetId="2" hidden="1">#REF!</definedName>
    <definedName name="대운반거리" localSheetId="3" hidden="1">#REF!</definedName>
    <definedName name="대운반거리" hidden="1">#REF!</definedName>
    <definedName name="돼지" hidden="1">{#N/A,#N/A,TRUE,"960318-1";#N/A,#N/A,TRUE,"960318-2";#N/A,#N/A,TRUE,"960318-3"}</definedName>
    <definedName name="第七次" hidden="1">{#N/A,#N/A,TRUE,"960318-1";#N/A,#N/A,TRUE,"960318-2";#N/A,#N/A,TRUE,"960318-3"}</definedName>
    <definedName name="ㄹㄹㄹ" localSheetId="2" hidden="1">#REF!</definedName>
    <definedName name="ㄹㄹㄹ" localSheetId="3" hidden="1">#REF!</definedName>
    <definedName name="ㄹㄹㄹ" hidden="1">#REF!</definedName>
    <definedName name="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ㅁ" hidden="1">{"stand",#N/A,TRUE,"공종단가";"mtrvl",#N/A,TRUE,"단가산출";"gis170vl",#N/A,TRUE,"단가산출";"gis23vl",#N/A,TRUE,"단가산출";"cpdlavl",#N/A,TRUE,"단가산출";"BUSVL",#N/A,TRUE,"단가산출";"CABLE",#N/A,TRUE,"단가산출";"MTRST",#N/A,TRUE,"MTR품";"GIS170ST",#N/A,TRUE,"170GIS품";"GIS23ST",#N/A,TRUE,"25.8GIS품";"GITAST",#N/A,TRUE,"잡설비품";"STST",#N/A,TRUE,"표준공종"}</definedName>
    <definedName name="마직막" localSheetId="2" hidden="1">#REF!</definedName>
    <definedName name="마직막" localSheetId="3" hidden="1">#REF!</definedName>
    <definedName name="마직막" hidden="1">#REF!</definedName>
    <definedName name="먁" localSheetId="2" hidden="1">#REF!</definedName>
    <definedName name="먁" localSheetId="3" hidden="1">#REF!</definedName>
    <definedName name="먁" hidden="1">#REF!</definedName>
    <definedName name="모선자재2" hidden="1">{"stand",#N/A,TRUE,"공종단가";"mtrvl",#N/A,TRUE,"단가산출";"gis170vl",#N/A,TRUE,"단가산출";"gis23vl",#N/A,TRUE,"단가산출";"cpdlavl",#N/A,TRUE,"단가산출";"BUSVL",#N/A,TRUE,"단가산출";"CABLE",#N/A,TRUE,"단가산출";"MTRST",#N/A,TRUE,"MTR품";"GIS170ST",#N/A,TRUE,"170GIS품";"GIS23ST",#N/A,TRUE,"25.8GIS품";"GITAST",#N/A,TRUE,"잡설비품";"STST",#N/A,TRUE,"표준공종"}</definedName>
    <definedName name="모선자재3" hidden="1">{"stand",#N/A,TRUE,"공종단가";"mtrvl",#N/A,TRUE,"단가산출";"gis170vl",#N/A,TRUE,"단가산출";"gis23vl",#N/A,TRUE,"단가산출";"cpdlavl",#N/A,TRUE,"단가산출";"BUSVL",#N/A,TRUE,"단가산출";"CABLE",#N/A,TRUE,"단가산출";"MTRST",#N/A,TRUE,"MTR품";"GIS170ST",#N/A,TRUE,"170GIS품";"GIS23ST",#N/A,TRUE,"25.8GIS품";"GITAST",#N/A,TRUE,"잡설비품";"STST",#N/A,TRUE,"표준공종"}</definedName>
    <definedName name="목차" localSheetId="2" hidden="1">[18]FAB별!#REF!</definedName>
    <definedName name="목차" localSheetId="3" hidden="1">[18]FAB별!#REF!</definedName>
    <definedName name="목차" hidden="1">[18]FAB별!#REF!</definedName>
    <definedName name="ㅂㅂ" localSheetId="2" hidden="1">#REF!</definedName>
    <definedName name="ㅂㅂ" localSheetId="3" hidden="1">#REF!</definedName>
    <definedName name="ㅂㅂ" hidden="1">#REF!</definedName>
    <definedName name="바꿔" hidden="1">{"stand",#N/A,TRUE,"공종단가";"mtrvl",#N/A,TRUE,"단가산출";"gis170vl",#N/A,TRUE,"단가산출";"gis23vl",#N/A,TRUE,"단가산출";"cpdlavl",#N/A,TRUE,"단가산출";"BUSVL",#N/A,TRUE,"단가산출";"CABLE",#N/A,TRUE,"단가산출";"MTRST",#N/A,TRUE,"MTR품";"GIS170ST",#N/A,TRUE,"170GIS품";"GIS23ST",#N/A,TRUE,"25.8GIS품";"GITAST",#N/A,TRUE,"잡설비품";"STST",#N/A,TRUE,"표준공종"}</definedName>
    <definedName name="발받침손료" localSheetId="2" hidden="1">#REF!</definedName>
    <definedName name="발받침손료" localSheetId="3" hidden="1">#REF!</definedName>
    <definedName name="발받침손료" hidden="1">#REF!</definedName>
    <definedName name="방침" localSheetId="2" hidden="1">[18]FAB별!#REF!</definedName>
    <definedName name="방침" localSheetId="3" hidden="1">[18]FAB별!#REF!</definedName>
    <definedName name="방침" hidden="1">[18]FAB별!#REF!</definedName>
    <definedName name="변경" hidden="1">{#N/A,#N/A,FALSE,"현장 NCR 분석";#N/A,#N/A,FALSE,"현장품질감사";#N/A,#N/A,FALSE,"현장품질감사"}</definedName>
    <definedName name="변경_기초정산집계" localSheetId="2" hidden="1">#REF!</definedName>
    <definedName name="변경_기초정산집계" localSheetId="3" hidden="1">#REF!</definedName>
    <definedName name="변경_기초정산집계" hidden="1">#REF!</definedName>
    <definedName name="변경석축" hidden="1">{#N/A,#N/A,FALSE,"현장 NCR 분석";#N/A,#N/A,FALSE,"현장품질감사";#N/A,#N/A,FALSE,"현장품질감사"}</definedName>
    <definedName name="복구계획도2" hidden="1">{#N/A,#N/A,FALSE,"현장 NCR 분석";#N/A,#N/A,FALSE,"현장품질감사";#N/A,#N/A,FALSE,"현장품질감사"}</definedName>
    <definedName name="복구물량" hidden="1">{#N/A,#N/A,FALSE,"현장 NCR 분석";#N/A,#N/A,FALSE,"현장품질감사";#N/A,#N/A,FALSE,"현장품질감사"}</definedName>
    <definedName name="복구집게" localSheetId="2" hidden="1">#REF!</definedName>
    <definedName name="복구집게" localSheetId="3" hidden="1">#REF!</definedName>
    <definedName name="복구집게" hidden="1">#REF!</definedName>
    <definedName name="봉" hidden="1">{#N/A,#N/A,TRUE,"960318-1";#N/A,#N/A,TRUE,"960318-2";#N/A,#N/A,TRUE,"960318-3"}</definedName>
    <definedName name="부손익" hidden="1">{#N/A,#N/A,FALSE,"현장 NCR 분석";#N/A,#N/A,FALSE,"현장품질감사";#N/A,#N/A,FALSE,"현장품질감사"}</definedName>
    <definedName name="부표" hidden="1">{"stand",#N/A,TRUE,"공종단가";"mtrvl",#N/A,TRUE,"단가산출";"gis170vl",#N/A,TRUE,"단가산출";"gis23vl",#N/A,TRUE,"단가산출";"cpdlavl",#N/A,TRUE,"단가산출";"BUSVL",#N/A,TRUE,"단가산출";"CABLE",#N/A,TRUE,"단가산출";"MTRST",#N/A,TRUE,"MTR품";"GIS170ST",#N/A,TRUE,"170GIS품";"GIS23ST",#N/A,TRUE,"25.8GIS품";"GITAST",#N/A,TRUE,"잡설비품";"STST",#N/A,TRUE,"표준공종"}</definedName>
    <definedName name="사방품셈1" localSheetId="2" hidden="1">#REF!</definedName>
    <definedName name="사방품셈1" localSheetId="3" hidden="1">#REF!</definedName>
    <definedName name="사방품셈1" hidden="1">#REF!</definedName>
    <definedName name="사방품셈별표" localSheetId="2" hidden="1">#REF!</definedName>
    <definedName name="사방품셈별표" localSheetId="3" hidden="1">#REF!</definedName>
    <definedName name="사방품셈별표" hidden="1">#REF!</definedName>
    <definedName name="산출" localSheetId="2" hidden="1">#REF!</definedName>
    <definedName name="산출" localSheetId="3" hidden="1">#REF!</definedName>
    <definedName name="산출" hidden="1">#REF!</definedName>
    <definedName name="상각비2" localSheetId="2" hidden="1">#REF!</definedName>
    <definedName name="상각비2" localSheetId="3" hidden="1">#REF!</definedName>
    <definedName name="상각비2" hidden="1">#REF!</definedName>
    <definedName name="석축물량" hidden="1">{#N/A,#N/A,FALSE,"현장 NCR 분석";#N/A,#N/A,FALSE,"현장품질감사";#N/A,#N/A,FALSE,"현장품질감사"}</definedName>
    <definedName name="설계변경1" hidden="1">{#N/A,#N/A,FALSE,"현장 NCR 분석";#N/A,#N/A,FALSE,"현장품질감사";#N/A,#N/A,FALSE,"현장품질감사"}</definedName>
    <definedName name="설비" hidden="1">{#N/A,#N/A,TRUE,"960318-1";#N/A,#N/A,TRUE,"960318-2";#N/A,#N/A,TRUE,"960318-3"}</definedName>
    <definedName name="설비1" hidden="1">{#N/A,#N/A,TRUE,"960318-1";#N/A,#N/A,TRUE,"960318-2";#N/A,#N/A,TRUE,"960318-3"}</definedName>
    <definedName name="성도" hidden="1">{#N/A,#N/A,TRUE,"960318-1";#N/A,#N/A,TRUE,"960318-2";#N/A,#N/A,TRUE,"960318-3"}</definedName>
    <definedName name="소ㅑ104" localSheetId="2" hidden="1">[20]FAB별!#REF!</definedName>
    <definedName name="소ㅑ104" localSheetId="3" hidden="1">[20]FAB별!#REF!</definedName>
    <definedName name="소ㅑ104" hidden="1">[20]FAB별!#REF!</definedName>
    <definedName name="수" hidden="1">{#N/A,#N/A,TRUE,"Basic";#N/A,#N/A,TRUE,"EXT-TABLE";#N/A,#N/A,TRUE,"STEEL";#N/A,#N/A,TRUE,"INT-Table";#N/A,#N/A,TRUE,"STEEL";#N/A,#N/A,TRUE,"Door"}</definedName>
    <definedName name="순서" localSheetId="2" hidden="1">[8]FAB별!#REF!</definedName>
    <definedName name="순서" localSheetId="3" hidden="1">[8]FAB별!#REF!</definedName>
    <definedName name="순서" hidden="1">[8]FAB별!#REF!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화" hidden="1">{#N/A,#N/A,TRUE,"960318-1";#N/A,#N/A,TRUE,"960318-2";#N/A,#N/A,TRUE,"960318-3"}</definedName>
    <definedName name="ㅇㄹㄹ" localSheetId="2" hidden="1">#REF!</definedName>
    <definedName name="ㅇㄹㄹ" localSheetId="3" hidden="1">#REF!</definedName>
    <definedName name="ㅇㄹㄹ" hidden="1">#REF!</definedName>
    <definedName name="아마" hidden="1">{#N/A,#N/A,FALSE,"현장 NCR 분석";#N/A,#N/A,FALSE,"현장품질감사";#N/A,#N/A,FALSE,"현장품질감사"}</definedName>
    <definedName name="아마로드" hidden="1">{#N/A,#N/A,FALSE,"현장 NCR 분석";#N/A,#N/A,FALSE,"현장품질감사";#N/A,#N/A,FALSE,"현장품질감사"}</definedName>
    <definedName name="암거날개벽" localSheetId="2" hidden="1">[21]덕전리!#REF!</definedName>
    <definedName name="암거날개벽" localSheetId="3" hidden="1">[21]덕전리!#REF!</definedName>
    <definedName name="암거날개벽" hidden="1">[21]덕전리!#REF!</definedName>
    <definedName name="애자" hidden="1">{#N/A,#N/A,FALSE,"현장 NCR 분석";#N/A,#N/A,FALSE,"현장품질감사";#N/A,#N/A,FALSE,"현장품질감사"}</definedName>
    <definedName name="영상" hidden="1">{#N/A,#N/A,TRUE,"960318-1";#N/A,#N/A,TRUE,"960318-2";#N/A,#N/A,TRUE,"960318-3"}</definedName>
    <definedName name="영상1" hidden="1">{#N/A,#N/A,TRUE,"960318-1";#N/A,#N/A,TRUE,"960318-2";#N/A,#N/A,TRUE,"960318-3"}</definedName>
    <definedName name="예산" hidden="1">{#N/A,#N/A,FALSE,"현장 NCR 분석";#N/A,#N/A,FALSE,"현장품질감사";#N/A,#N/A,FALSE,"현장품질감사"}</definedName>
    <definedName name="운반중량1" localSheetId="2" hidden="1">#REF!</definedName>
    <definedName name="운반중량1" localSheetId="3" hidden="1">#REF!</definedName>
    <definedName name="운반중량1" hidden="1">#REF!</definedName>
    <definedName name="인력계회" localSheetId="2" hidden="1">[12]FAB별!#REF!</definedName>
    <definedName name="인력계회" localSheetId="3" hidden="1">[12]FAB별!#REF!</definedName>
    <definedName name="인력계회" hidden="1">[12]FAB별!#REF!</definedName>
    <definedName name="입고" localSheetId="2" hidden="1">[7]FAB별!#REF!</definedName>
    <definedName name="입고" localSheetId="3" hidden="1">[7]FAB별!#REF!</definedName>
    <definedName name="입고" hidden="1">[7]FAB별!#REF!</definedName>
    <definedName name="ㅈㅈ" hidden="1">{#N/A,#N/A,TRUE,"960318-1";#N/A,#N/A,TRUE,"960318-2";#N/A,#N/A,TRUE,"960318-3"}</definedName>
    <definedName name="자리" hidden="1">{#N/A,#N/A,TRUE,"960318-1";#N/A,#N/A,TRUE,"960318-2";#N/A,#N/A,TRUE,"960318-3"}</definedName>
    <definedName name="자지" hidden="1">{#N/A,#N/A,TRUE,"960318-1";#N/A,#N/A,TRUE,"960318-2";#N/A,#N/A,TRUE,"960318-3"}</definedName>
    <definedName name="장" hidden="1">{#N/A,#N/A,TRUE,"960318-1";#N/A,#N/A,TRUE,"960318-2";#N/A,#N/A,TRUE,"960318-3"}</definedName>
    <definedName name="접지자재2" hidden="1">{"stand",#N/A,TRUE,"공종단가";"mtrvl",#N/A,TRUE,"단가산출";"gis170vl",#N/A,TRUE,"단가산출";"gis23vl",#N/A,TRUE,"단가산출";"cpdlavl",#N/A,TRUE,"단가산출";"BUSVL",#N/A,TRUE,"단가산출";"CABLE",#N/A,TRUE,"단가산출";"MTRST",#N/A,TRUE,"MTR품";"GIS170ST",#N/A,TRUE,"170GIS품";"GIS23ST",#N/A,TRUE,"25.8GIS품";"GITAST",#N/A,TRUE,"잡설비품";"STST",#N/A,TRUE,"표준공종"}</definedName>
    <definedName name="정산기초1" hidden="1">{#N/A,#N/A,FALSE,"현장 NCR 분석";#N/A,#N/A,FALSE,"현장품질감사";#N/A,#N/A,FALSE,"현장품질감사"}</definedName>
    <definedName name="정산기초11" hidden="1">{#N/A,#N/A,FALSE,"현장 NCR 분석";#N/A,#N/A,FALSE,"현장품질감사";#N/A,#N/A,FALSE,"현장품질감사"}</definedName>
    <definedName name="정산설명1" hidden="1">{#N/A,#N/A,FALSE,"현장 NCR 분석";#N/A,#N/A,FALSE,"현장품질감사";#N/A,#N/A,FALSE,"현장품질감사"}</definedName>
    <definedName name="제각용" hidden="1">{"stand",#N/A,TRUE,"공종단가";"mtrvl",#N/A,TRUE,"단가산출";"gis170vl",#N/A,TRUE,"단가산출";"gis23vl",#N/A,TRUE,"단가산출";"cpdlavl",#N/A,TRUE,"단가산출";"BUSVL",#N/A,TRUE,"단가산출";"CABLE",#N/A,TRUE,"단가산출";"MTRST",#N/A,TRUE,"MTR품";"GIS170ST",#N/A,TRUE,"170GIS품";"GIS23ST",#N/A,TRUE,"25.8GIS품";"GITAST",#N/A,TRUE,"잡설비품";"STST",#N/A,TRUE,"표준공종"}</definedName>
    <definedName name="조정단가1" hidden="1">{#N/A,#N/A,FALSE,"현장 NCR 분석";#N/A,#N/A,FALSE,"현장품질감사";#N/A,#N/A,FALSE,"현장품질감사"}</definedName>
    <definedName name="조정단가2" hidden="1">{#N/A,#N/A,FALSE,"현장 NCR 분석";#N/A,#N/A,FALSE,"현장품질감사";#N/A,#N/A,FALSE,"현장품질감사"}</definedName>
    <definedName name="지시부" hidden="1">{#N/A,#N/A,FALSE,"현장 NCR 분석";#N/A,#N/A,FALSE,"현장품질감사";#N/A,#N/A,FALSE,"현장품질감사"}</definedName>
    <definedName name="지표" localSheetId="2" hidden="1">[22]FAB4생산!#REF!</definedName>
    <definedName name="지표" localSheetId="3" hidden="1">[22]FAB4생산!#REF!</definedName>
    <definedName name="지표" hidden="1">[22]FAB4생산!#REF!</definedName>
    <definedName name="철거2" hidden="1">{#N/A,#N/A,FALSE,"현장 NCR 분석";#N/A,#N/A,FALSE,"현장품질감사";#N/A,#N/A,FALSE,"현장품질감사"}</definedName>
    <definedName name="철거기벼" localSheetId="2" hidden="1">#REF!</definedName>
    <definedName name="철거기벼" localSheetId="3" hidden="1">#REF!</definedName>
    <definedName name="철거기벼" hidden="1">#REF!</definedName>
    <definedName name="철근자료" localSheetId="2" hidden="1">#REF!</definedName>
    <definedName name="철근자료" localSheetId="3" hidden="1">#REF!</definedName>
    <definedName name="철근자료" hidden="1">#REF!</definedName>
    <definedName name="충주" localSheetId="2" hidden="1">[23]설계내역서!#REF!</definedName>
    <definedName name="충주" localSheetId="3" hidden="1">[23]설계내역서!#REF!</definedName>
    <definedName name="충주" hidden="1">[23]설계내역서!#REF!</definedName>
    <definedName name="카믹서별표" localSheetId="2" hidden="1">#REF!</definedName>
    <definedName name="카믹서별표" localSheetId="3" hidden="1">#REF!</definedName>
    <definedName name="카믹서별표" hidden="1">#REF!</definedName>
    <definedName name="ㅌㄹ" hidden="1">{#N/A,#N/A,FALSE,"현장 NCR 분석";#N/A,#N/A,FALSE,"현장품질감사";#N/A,#N/A,FALSE,"현장품질감사"}</definedName>
    <definedName name="표지" hidden="1">{#N/A,#N/A,TRUE,"Basic";#N/A,#N/A,TRUE,"EXT-TABLE";#N/A,#N/A,TRUE,"STEEL";#N/A,#N/A,TRUE,"INT-Table";#N/A,#N/A,TRUE,"STEEL";#N/A,#N/A,TRUE,"Door"}</definedName>
    <definedName name="표지1" localSheetId="2" hidden="1">#REF!</definedName>
    <definedName name="표지1" localSheetId="3" hidden="1">#REF!</definedName>
    <definedName name="표지1" hidden="1">#REF!</definedName>
    <definedName name="표지2" localSheetId="2" hidden="1">#REF!</definedName>
    <definedName name="표지2" localSheetId="3" hidden="1">#REF!</definedName>
    <definedName name="표지2" hidden="1">#REF!</definedName>
    <definedName name="한양" hidden="1">{#N/A,#N/A,TRUE,"960318-1";#N/A,#N/A,TRUE,"960318-2";#N/A,#N/A,TRUE,"960318-3"}</definedName>
    <definedName name="항공장애구" hidden="1">{#N/A,#N/A,FALSE,"현장 NCR 분석";#N/A,#N/A,FALSE,"현장품질감사";#N/A,#N/A,FALSE,"현장품질감사"}</definedName>
    <definedName name="항목별분류" hidden="1">{#N/A,#N/A,TRUE,"960318-1";#N/A,#N/A,TRUE,"960318-2";#N/A,#N/A,TRUE,"960318-3"}</definedName>
    <definedName name="현장" hidden="1">{#N/A,#N/A,FALSE,"현장 NCR 분석";#N/A,#N/A,FALSE,"현장품질감사";#N/A,#N/A,FALSE,"현장품질감사"}</definedName>
    <definedName name="호" hidden="1">{#N/A,#N/A,FALSE,"현장 NCR 분석";#N/A,#N/A,FALSE,"현장품질감사";#N/A,#N/A,FALSE,"현장품질감사"}</definedName>
    <definedName name="호호호" hidden="1">{#N/A,#N/A,FALSE,"현장 NCR 분석";#N/A,#N/A,FALSE,"현장품질감사";#N/A,#N/A,FALSE,"현장품질감사"}</definedName>
    <definedName name="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21" l="1"/>
  <c r="M4" i="21"/>
  <c r="K4" i="21"/>
  <c r="J4" i="21"/>
  <c r="C4" i="21"/>
  <c r="I4" i="22"/>
  <c r="H4" i="22"/>
  <c r="B4" i="21" l="1"/>
  <c r="X4" i="21"/>
  <c r="W4" i="21"/>
  <c r="AA4" i="21" s="1"/>
  <c r="Q4" i="21"/>
  <c r="P4" i="21"/>
  <c r="T4" i="21" s="1"/>
  <c r="L4" i="22"/>
  <c r="K4" i="22"/>
  <c r="E4" i="22"/>
  <c r="D4" i="22"/>
  <c r="G4" i="22" l="1"/>
  <c r="R4" i="21"/>
  <c r="S4" i="21" s="1"/>
  <c r="U4" i="21" s="1"/>
  <c r="D4" i="21"/>
  <c r="Y4" i="21"/>
  <c r="Z4" i="21" s="1"/>
  <c r="AB4" i="21" s="1"/>
  <c r="F4" i="22"/>
  <c r="F4" i="21" l="1"/>
  <c r="E4" i="21"/>
  <c r="G4" i="21" l="1"/>
  <c r="H4" i="21" s="1"/>
</calcChain>
</file>

<file path=xl/sharedStrings.xml><?xml version="1.0" encoding="utf-8"?>
<sst xmlns="http://schemas.openxmlformats.org/spreadsheetml/2006/main" count="186" uniqueCount="131">
  <si>
    <t>專案編號</t>
  </si>
  <si>
    <t>專案名稱</t>
  </si>
  <si>
    <t>合約總額</t>
  </si>
  <si>
    <t>預計毛利</t>
  </si>
  <si>
    <t>收款累計</t>
    <phoneticPr fontId="2" type="noConversion"/>
  </si>
  <si>
    <t>付款累計</t>
    <phoneticPr fontId="2" type="noConversion"/>
  </si>
  <si>
    <t>預計毛利</t>
    <phoneticPr fontId="2" type="noConversion"/>
  </si>
  <si>
    <t>應收帳款週轉天數</t>
    <phoneticPr fontId="2" type="noConversion"/>
  </si>
  <si>
    <t>當月收款</t>
    <phoneticPr fontId="2" type="noConversion"/>
  </si>
  <si>
    <t>當月付款</t>
    <phoneticPr fontId="2" type="noConversion"/>
  </si>
  <si>
    <t>營收累計</t>
    <phoneticPr fontId="2" type="noConversion"/>
  </si>
  <si>
    <t>毛利累計</t>
    <phoneticPr fontId="2" type="noConversion"/>
  </si>
  <si>
    <t>年</t>
    <phoneticPr fontId="2" type="noConversion"/>
  </si>
  <si>
    <t>月</t>
    <phoneticPr fontId="2" type="noConversion"/>
  </si>
  <si>
    <t>此欄之後為計算式，程式將產生之並隱藏</t>
    <phoneticPr fontId="2" type="noConversion"/>
  </si>
  <si>
    <t>起始年</t>
    <phoneticPr fontId="2" type="noConversion"/>
  </si>
  <si>
    <t>起始月</t>
    <phoneticPr fontId="2" type="noConversion"/>
  </si>
  <si>
    <t>結束年</t>
    <phoneticPr fontId="2" type="noConversion"/>
  </si>
  <si>
    <t>結束月</t>
    <phoneticPr fontId="2" type="noConversion"/>
  </si>
  <si>
    <t>此月付款</t>
    <phoneticPr fontId="2" type="noConversion"/>
  </si>
  <si>
    <t>此月營利</t>
    <phoneticPr fontId="2" type="noConversion"/>
  </si>
  <si>
    <t>此月收款</t>
    <phoneticPr fontId="2" type="noConversion"/>
  </si>
  <si>
    <t>此月應收帳</t>
    <phoneticPr fontId="2" type="noConversion"/>
  </si>
  <si>
    <t>平均應收帳</t>
    <phoneticPr fontId="2" type="noConversion"/>
  </si>
  <si>
    <t>當月營收預估</t>
    <phoneticPr fontId="2" type="noConversion"/>
  </si>
  <si>
    <t>當月毛利預估</t>
    <phoneticPr fontId="2" type="noConversion"/>
  </si>
  <si>
    <t>預計總成本</t>
    <phoneticPr fontId="2" type="noConversion"/>
  </si>
  <si>
    <t>應收帳款週轉率</t>
    <phoneticPr fontId="2" type="noConversion"/>
  </si>
  <si>
    <t>工作表用途</t>
    <phoneticPr fontId="1" type="noConversion"/>
  </si>
  <si>
    <t>名稱</t>
    <phoneticPr fontId="1" type="noConversion"/>
  </si>
  <si>
    <t>撿料計算表</t>
    <phoneticPr fontId="2" type="noConversion"/>
  </si>
  <si>
    <t>程式填入資料並從中抓取撿料結果</t>
    <phoneticPr fontId="2" type="noConversion"/>
  </si>
  <si>
    <t>欄/欄位名稱</t>
    <phoneticPr fontId="1" type="noConversion"/>
  </si>
  <si>
    <t>Q13</t>
    <phoneticPr fontId="1" type="noConversion"/>
  </si>
  <si>
    <t>Q14</t>
    <phoneticPr fontId="1" type="noConversion"/>
  </si>
  <si>
    <t>Q15</t>
    <phoneticPr fontId="1" type="noConversion"/>
  </si>
  <si>
    <t>Q16</t>
    <phoneticPr fontId="1" type="noConversion"/>
  </si>
  <si>
    <t>Q17</t>
    <phoneticPr fontId="1" type="noConversion"/>
  </si>
  <si>
    <t>R13</t>
    <phoneticPr fontId="1" type="noConversion"/>
  </si>
  <si>
    <t>S13</t>
    <phoneticPr fontId="1" type="noConversion"/>
  </si>
  <si>
    <t>材料表</t>
    <phoneticPr fontId="2" type="noConversion"/>
  </si>
  <si>
    <t>[撿料計算表]主支管輸入表</t>
    <phoneticPr fontId="1" type="noConversion"/>
  </si>
  <si>
    <t>[撿料計算表]主支管撿料表</t>
    <phoneticPr fontId="1" type="noConversion"/>
  </si>
  <si>
    <t>P</t>
    <phoneticPr fontId="2" type="noConversion"/>
  </si>
  <si>
    <t>項目 所在欄</t>
    <phoneticPr fontId="2" type="noConversion"/>
  </si>
  <si>
    <t>材質 所在欄</t>
    <phoneticPr fontId="2" type="noConversion"/>
  </si>
  <si>
    <t>銜接方式 所在欄</t>
    <phoneticPr fontId="2" type="noConversion"/>
  </si>
  <si>
    <t>規格 所在欄</t>
    <phoneticPr fontId="2" type="noConversion"/>
  </si>
  <si>
    <t>單位 所在欄</t>
    <phoneticPr fontId="2" type="noConversion"/>
  </si>
  <si>
    <t>數量 所在欄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</si>
  <si>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</si>
  <si>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</si>
  <si>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</si>
  <si>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</si>
  <si>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</si>
  <si>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P22</t>
    <phoneticPr fontId="2" type="noConversion"/>
  </si>
  <si>
    <t>U23</t>
    <phoneticPr fontId="2" type="noConversion"/>
  </si>
  <si>
    <t>[撿料計算表]VCR閥組輸入表</t>
    <phoneticPr fontId="1" type="noConversion"/>
  </si>
  <si>
    <t>[撿料計算表]VCR閥組撿料表</t>
    <phoneticPr fontId="1" type="noConversion"/>
  </si>
  <si>
    <t>Z13</t>
    <phoneticPr fontId="1" type="noConversion"/>
  </si>
  <si>
    <t>AA13</t>
    <phoneticPr fontId="1" type="noConversion"/>
  </si>
  <si>
    <t>AA14</t>
    <phoneticPr fontId="1" type="noConversion"/>
  </si>
  <si>
    <t>主管 尺寸</t>
    <phoneticPr fontId="1" type="noConversion"/>
  </si>
  <si>
    <t>支管1 尺寸</t>
    <phoneticPr fontId="1" type="noConversion"/>
  </si>
  <si>
    <t>支管2 尺寸</t>
    <phoneticPr fontId="1" type="noConversion"/>
  </si>
  <si>
    <t>支管3 尺寸</t>
    <phoneticPr fontId="1" type="noConversion"/>
  </si>
  <si>
    <t>支管4 尺寸</t>
    <phoneticPr fontId="1" type="noConversion"/>
  </si>
  <si>
    <t>主管 材質</t>
    <phoneticPr fontId="1" type="noConversion"/>
  </si>
  <si>
    <t>主管 長度</t>
    <phoneticPr fontId="1" type="noConversion"/>
  </si>
  <si>
    <t>一對一 料表左上</t>
    <phoneticPr fontId="2" type="noConversion"/>
  </si>
  <si>
    <t>一對一 料表右下</t>
    <phoneticPr fontId="2" type="noConversion"/>
  </si>
  <si>
    <t>一對二 料表左上</t>
    <phoneticPr fontId="2" type="noConversion"/>
  </si>
  <si>
    <t>一對二 料表右下</t>
    <phoneticPr fontId="2" type="noConversion"/>
  </si>
  <si>
    <t>一對三 料表左上</t>
    <phoneticPr fontId="2" type="noConversion"/>
  </si>
  <si>
    <t>一對三 料表右下</t>
    <phoneticPr fontId="2" type="noConversion"/>
  </si>
  <si>
    <t>一對四 料表左上</t>
    <phoneticPr fontId="2" type="noConversion"/>
  </si>
  <si>
    <t>一對四 料表右下</t>
    <phoneticPr fontId="2" type="noConversion"/>
  </si>
  <si>
    <t>支管 尺寸</t>
    <phoneticPr fontId="1" type="noConversion"/>
  </si>
  <si>
    <t>支管 材質</t>
    <phoneticPr fontId="1" type="noConversion"/>
  </si>
  <si>
    <t>隔膜閥 材質</t>
    <phoneticPr fontId="1" type="noConversion"/>
  </si>
  <si>
    <t>調壓閥 材質</t>
    <phoneticPr fontId="1" type="noConversion"/>
  </si>
  <si>
    <t>AA15</t>
    <phoneticPr fontId="1" type="noConversion"/>
  </si>
  <si>
    <t>支管 Branch to Panel 長度</t>
    <phoneticPr fontId="2" type="noConversion"/>
  </si>
  <si>
    <t>AB13</t>
    <phoneticPr fontId="2" type="noConversion"/>
  </si>
  <si>
    <t>支管 Panel to POU 長度</t>
    <phoneticPr fontId="2" type="noConversion"/>
  </si>
  <si>
    <t>AC13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</si>
  <si>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</si>
  <si>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</si>
  <si>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</si>
  <si>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</si>
  <si>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</si>
  <si>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</si>
  <si>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調壓閥 料表左上</t>
    <phoneticPr fontId="2" type="noConversion"/>
  </si>
  <si>
    <t>調壓閥 料表右下</t>
    <phoneticPr fontId="2" type="noConversion"/>
  </si>
  <si>
    <t>Y22</t>
    <phoneticPr fontId="2" type="noConversion"/>
  </si>
  <si>
    <t>AD38</t>
    <phoneticPr fontId="2" type="noConversion"/>
  </si>
  <si>
    <t>調壓閥附錶 料表左上</t>
    <phoneticPr fontId="2" type="noConversion"/>
  </si>
  <si>
    <t>調壓閥附錶 料表右下</t>
    <phoneticPr fontId="2" type="noConversion"/>
  </si>
  <si>
    <t>Y43</t>
    <phoneticPr fontId="2" type="noConversion"/>
  </si>
  <si>
    <t>AD57</t>
    <phoneticPr fontId="2" type="noConversion"/>
  </si>
  <si>
    <t>無調壓閥 料表左上</t>
    <phoneticPr fontId="2" type="noConversion"/>
  </si>
  <si>
    <t>無調壓閥 料表右下</t>
    <phoneticPr fontId="2" type="noConversion"/>
  </si>
  <si>
    <t>Y62</t>
    <phoneticPr fontId="2" type="noConversion"/>
  </si>
  <si>
    <t>AD78</t>
    <phoneticPr fontId="2" type="noConversion"/>
  </si>
  <si>
    <t>[撿料計算表]SWG閥組輸入表</t>
    <phoneticPr fontId="1" type="noConversion"/>
  </si>
  <si>
    <t>[撿料計算表]SWG閥組撿料表</t>
    <phoneticPr fontId="1" type="noConversion"/>
  </si>
  <si>
    <t>AI13</t>
    <phoneticPr fontId="1" type="noConversion"/>
  </si>
  <si>
    <t>AJ13</t>
    <phoneticPr fontId="1" type="noConversion"/>
  </si>
  <si>
    <t>球閥 材質</t>
    <phoneticPr fontId="1" type="noConversion"/>
  </si>
  <si>
    <t>AJ14</t>
    <phoneticPr fontId="1" type="noConversion"/>
  </si>
  <si>
    <t>AJ15</t>
    <phoneticPr fontId="1" type="noConversion"/>
  </si>
  <si>
    <t>AK13</t>
    <phoneticPr fontId="2" type="noConversion"/>
  </si>
  <si>
    <t>AL13</t>
    <phoneticPr fontId="2" type="noConversion"/>
  </si>
  <si>
    <t>AM</t>
  </si>
  <si>
    <t>AL</t>
  </si>
  <si>
    <t>AK</t>
  </si>
  <si>
    <t>AJ</t>
    <phoneticPr fontId="2" type="noConversion"/>
  </si>
  <si>
    <t>AI</t>
    <phoneticPr fontId="2" type="noConversion"/>
  </si>
  <si>
    <t>AH</t>
    <phoneticPr fontId="2" type="noConversion"/>
  </si>
  <si>
    <t>AH22</t>
  </si>
  <si>
    <t>AH43</t>
  </si>
  <si>
    <t>AM34</t>
    <phoneticPr fontId="2" type="noConversion"/>
  </si>
  <si>
    <t>AM52</t>
    <phoneticPr fontId="2" type="noConversion"/>
  </si>
  <si>
    <t>AH62</t>
    <phoneticPr fontId="2" type="noConversion"/>
  </si>
  <si>
    <t>AM71</t>
    <phoneticPr fontId="2" type="noConversion"/>
  </si>
  <si>
    <t>未整理料表</t>
    <phoneticPr fontId="2" type="noConversion"/>
  </si>
  <si>
    <t>報價用材料表</t>
    <phoneticPr fontId="2" type="noConversion"/>
  </si>
  <si>
    <t>報價用報價單</t>
    <phoneticPr fontId="2" type="noConversion"/>
  </si>
  <si>
    <t>報價單</t>
    <phoneticPr fontId="2" type="noConversion"/>
  </si>
  <si>
    <t>撿料表</t>
    <phoneticPr fontId="2" type="noConversion"/>
  </si>
  <si>
    <t>&lt;備用&gt;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</si>
</sst>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_(* #,##0.00_);_(* \(#,##0.00\);_(* &quot;-&quot;??_);_(@_)"/>
    <numFmt numFmtId="177" formatCode="_(* #,##0_);_(* \(#,##0\);_(* &quot;-&quot;??_);_(@_)"/>
    <numFmt numFmtId="178" formatCode="#,##0_);[Red]\(#,##0\)"/>
    <numFmt numFmtId="179" formatCode="#,##0.00_);[Red]\(#,##0.00\)"/>
    <numFmt numFmtId="180" formatCode="#,##0_);\(#,##0\)"/>
  </numFmts>
  <fonts count="13">
    <font>
      <sz val="12"/>
      <name val="Times New Roman"/>
      <family val="1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Times New Roman"/>
      <family val="1"/>
    </font>
    <font>
      <b/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sz val="12"/>
      <name val="細明體"/>
      <family val="3"/>
      <charset val="136"/>
    </font>
    <font>
      <sz val="12"/>
      <color rgb="FFFF0000"/>
      <name val="細明體"/>
      <family val="3"/>
      <charset val="136"/>
    </font>
    <font>
      <sz val="12"/>
      <color rgb="FFFF0000"/>
      <name val="Times New Roman"/>
      <family val="1"/>
    </font>
    <font>
      <sz val="1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76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12" fillId="0" borderId="0"/>
  </cellStyleXfs>
  <cellXfs count="58">
    <xf numFmtId="0" fontId="0" fillId="0" borderId="0" xfId="0"/>
    <xf numFmtId="0" fontId="0" fillId="0" borderId="0" xfId="0" applyFill="1" applyBorder="1"/>
    <xf numFmtId="0" fontId="4" fillId="2" borderId="1" xfId="0" applyFont="1" applyFill="1" applyBorder="1" applyAlignment="1">
      <alignment horizontal="center" vertical="center"/>
    </xf>
    <xf numFmtId="176" fontId="0" fillId="0" borderId="0" xfId="1" applyFont="1"/>
    <xf numFmtId="177" fontId="0" fillId="0" borderId="0" xfId="1" applyNumberFormat="1" applyFont="1"/>
    <xf numFmtId="0" fontId="0" fillId="0" borderId="0" xfId="0" applyFill="1"/>
    <xf numFmtId="177" fontId="0" fillId="0" borderId="1" xfId="1" applyNumberFormat="1" applyFont="1" applyFill="1" applyBorder="1"/>
    <xf numFmtId="180" fontId="0" fillId="0" borderId="1" xfId="1" applyNumberFormat="1" applyFont="1" applyFill="1" applyBorder="1"/>
    <xf numFmtId="178" fontId="3" fillId="0" borderId="1" xfId="1" applyNumberFormat="1" applyFont="1" applyFill="1" applyBorder="1"/>
    <xf numFmtId="179" fontId="3" fillId="0" borderId="1" xfId="1" applyNumberFormat="1" applyFont="1" applyFill="1" applyBorder="1"/>
    <xf numFmtId="0" fontId="0" fillId="0" borderId="0" xfId="0" applyFont="1" applyBorder="1" applyAlignment="1">
      <alignment horizontal="left"/>
    </xf>
    <xf numFmtId="0" fontId="0" fillId="0" borderId="0" xfId="0" applyFont="1" applyBorder="1"/>
    <xf numFmtId="177" fontId="5" fillId="4" borderId="0" xfId="1" applyNumberFormat="1" applyFont="1" applyFill="1" applyBorder="1" applyAlignment="1">
      <alignment horizontal="center" vertical="center"/>
    </xf>
    <xf numFmtId="177" fontId="3" fillId="0" borderId="0" xfId="1" applyNumberFormat="1" applyFont="1" applyFill="1" applyBorder="1" applyAlignment="1">
      <alignment horizontal="left"/>
    </xf>
    <xf numFmtId="0" fontId="0" fillId="0" borderId="0" xfId="0" applyFont="1" applyFill="1" applyBorder="1"/>
    <xf numFmtId="177" fontId="3" fillId="0" borderId="0" xfId="1" applyNumberFormat="1" applyFont="1" applyFill="1" applyBorder="1"/>
    <xf numFmtId="177" fontId="0" fillId="0" borderId="0" xfId="0" applyNumberFormat="1" applyFont="1" applyBorder="1"/>
    <xf numFmtId="176" fontId="3" fillId="0" borderId="0" xfId="1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1" xfId="0" applyBorder="1"/>
    <xf numFmtId="0" fontId="0" fillId="0" borderId="0" xfId="0"/>
    <xf numFmtId="0" fontId="5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/>
    <xf numFmtId="180" fontId="0" fillId="0" borderId="1" xfId="0" applyNumberFormat="1" applyFill="1" applyBorder="1"/>
    <xf numFmtId="0" fontId="6" fillId="0" borderId="1" xfId="0" applyFont="1" applyFill="1" applyBorder="1"/>
    <xf numFmtId="9" fontId="0" fillId="0" borderId="1" xfId="2" applyFont="1" applyFill="1" applyBorder="1" applyAlignment="1"/>
    <xf numFmtId="0" fontId="7" fillId="0" borderId="0" xfId="0" applyFont="1" applyBorder="1"/>
    <xf numFmtId="0" fontId="6" fillId="0" borderId="0" xfId="0" applyFont="1" applyBorder="1"/>
    <xf numFmtId="0" fontId="0" fillId="0" borderId="0" xfId="0" applyBorder="1"/>
    <xf numFmtId="176" fontId="0" fillId="0" borderId="0" xfId="1" applyFont="1" applyBorder="1"/>
    <xf numFmtId="176" fontId="0" fillId="0" borderId="0" xfId="1" applyFont="1" applyFill="1" applyBorder="1"/>
    <xf numFmtId="176" fontId="0" fillId="0" borderId="0" xfId="1" applyFont="1" applyFill="1"/>
    <xf numFmtId="177" fontId="3" fillId="0" borderId="0" xfId="1" applyNumberFormat="1" applyFont="1" applyFill="1" applyBorder="1" applyAlignment="1">
      <alignment horizontal="right"/>
    </xf>
    <xf numFmtId="177" fontId="4" fillId="4" borderId="2" xfId="1" applyNumberFormat="1" applyFont="1" applyFill="1" applyBorder="1" applyAlignment="1">
      <alignment horizontal="center" vertical="center"/>
    </xf>
    <xf numFmtId="0" fontId="8" fillId="0" borderId="0" xfId="1" applyNumberFormat="1" applyFont="1" applyFill="1" applyBorder="1"/>
    <xf numFmtId="0" fontId="0" fillId="0" borderId="0" xfId="1" applyNumberFormat="1" applyFont="1" applyBorder="1"/>
    <xf numFmtId="0" fontId="0" fillId="0" borderId="0" xfId="1" applyNumberFormat="1" applyFont="1" applyAlignment="1">
      <alignment horizontal="center"/>
    </xf>
    <xf numFmtId="0" fontId="0" fillId="0" borderId="0" xfId="1" applyNumberFormat="1" applyFont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6" fillId="4" borderId="0" xfId="1" applyNumberFormat="1" applyFont="1" applyFill="1" applyAlignment="1">
      <alignment horizontal="center"/>
    </xf>
    <xf numFmtId="176" fontId="6" fillId="4" borderId="0" xfId="1" applyFont="1" applyFill="1" applyAlignment="1">
      <alignment horizontal="center"/>
    </xf>
    <xf numFmtId="176" fontId="0" fillId="0" borderId="0" xfId="1" applyFont="1" applyFill="1" applyAlignment="1">
      <alignment horizontal="center"/>
    </xf>
    <xf numFmtId="177" fontId="0" fillId="0" borderId="0" xfId="1" applyNumberFormat="1" applyFont="1" applyFill="1" applyBorder="1" applyAlignment="1">
      <alignment horizontal="right"/>
    </xf>
    <xf numFmtId="0" fontId="10" fillId="5" borderId="1" xfId="0" applyFont="1" applyFill="1" applyBorder="1"/>
    <xf numFmtId="0" fontId="11" fillId="5" borderId="1" xfId="0" applyFont="1" applyFill="1" applyBorder="1"/>
    <xf numFmtId="0" fontId="11" fillId="0" borderId="0" xfId="0" applyFont="1"/>
    <xf numFmtId="0" fontId="10" fillId="0" borderId="1" xfId="0" applyFont="1" applyBorder="1"/>
    <xf numFmtId="0" fontId="11" fillId="0" borderId="1" xfId="0" applyFont="1" applyBorder="1"/>
    <xf numFmtId="0" fontId="10" fillId="3" borderId="1" xfId="0" applyFont="1" applyFill="1" applyBorder="1"/>
    <xf numFmtId="0" fontId="11" fillId="3" borderId="1" xfId="0" applyFont="1" applyFill="1" applyBorder="1"/>
    <xf numFmtId="0" fontId="11" fillId="6" borderId="1" xfId="0" applyFont="1" applyFill="1" applyBorder="1"/>
    <xf numFmtId="0" fontId="10" fillId="6" borderId="1" xfId="0" applyFont="1" applyFill="1" applyBorder="1"/>
    <xf numFmtId="0" fontId="10" fillId="0" borderId="1" xfId="0" applyFont="1" applyFill="1" applyBorder="1"/>
  </cellXfs>
  <cellStyles count="4">
    <cellStyle name="一般" xfId="0" builtinId="0"/>
    <cellStyle name="一般 2" xfId="3"/>
    <cellStyle name="千分位" xfId="1" builtinId="3"/>
    <cellStyle name="百分比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microsoft.com/office/2006/relationships/vbaProject" Target="vbaProject.bin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144780</xdr:rowOff>
        </xdr:from>
        <xdr:to>
          <xdr:col>3</xdr:col>
          <xdr:colOff>137160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顯示Form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980;&#51116;&#50672;\aproject\skec\TDI\BM\TDIBM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4217;&#54840;\C\'&#52572;&#50980;&#50689;\&#51060;&#49244;&#50980;&#50689;\&#50696;&#49328;&#44288;&#47532;\98FAB&#44228;&#54925;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j5\c\EXCEL\DATAPCS\DDD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8f0-pc01\d\WINDOWS\TEMP\Cost_Index_Ga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y%20Documents\&#22235;&#30693;&#20843;&#26449;\&#29128;&#20855;&#25554;&#24231;&#35336;&#31639;-&#22235;&#30693;&#20843;&#2644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457;&#51068;\E\&#45824;&#44396;&#51204;&#47141;&#44288;&#47532;&#52376;\&#52397;&#53685;\&#51648;&#48152;&#51312;&#49324;\&#50896;&#48376;\&#50556;&#45796;&#49884;&#45796;&#51096;&#45224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3468;&#50980;\KTY\&#54788;&#54889;&#48372;&#44256;\&#44277;&#50976;\NYJ\PLAN\97PLAN\0924\&#51228;&#54408;&#48324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3468;&#50980;\KTY\KTY\&#54788;&#54889;&#48372;&#44256;\PLAN\97PLAN\0924\&#51228;&#54408;&#48324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3468;&#50980;\99\KTY\&#48149;&#48337;&#44508;\KTY\Plan\99PLAN\&#49324;&#50629;&#44228;&#54925;\KTY\&#44221;&#50689;&#54924;&#51032;\&#44277;&#50976;\NYJ\PLAN\97PLAN\0924\&#51228;&#54408;&#48324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acmaint\scott%20d\0.&#32147;&#29702;\2002&#24180;&#20445;&#20462;&#37096;AOD\2002&#24180;3&#26376;&#20221;\2002.1&#26376;&#24288;&#21209;&#36027;&#29992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124;&#49440;\SPUTTER%20&#54217;&#54840;\NYJ\JMN\PLAN\97PLAN\0924\&#51228;&#54408;&#48324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3468;&#50980;\KTY\KTY\&#44221;&#50689;&#54924;&#51032;\&#44277;&#50976;\NYJ\PLAN\97PLAN\0924\&#51228;&#54408;&#48324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3468;&#50980;\&#50629;&#47924;&#48372;&#44256;\&#45208;&#51032;%20&#47928;&#49436;&#46308;\&#44048;&#49324;&#49892;\&#49373;&#49328;&#44288;&#47532;&#48512;\&#50976;&#55092;&#51088;&#49328;&#54788;&#54889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4217;&#54840;\&#44284;%20&#52712;&#54633;\NYJ\JMN\PLAN\97PLAN\0924\&#51228;&#54408;&#48324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Bruce&#24037;&#20316;&#36039;&#26009;/MIC&#31243;&#24335;&#38283;&#30332;&#24037;&#20316;/&#24037;&#22320;_&#23560;&#26696;&#36914;&#24230;&#34920;&#26684;&#24335;/&#21443;&#32771;sample/Excel-Gantt%20chart(include%20Sample)v3.6(Excel2010)-zh_TW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4217;&#54840;\C\SPUTTER\&#44284;%20&#52712;&#54633;\&#44032;&#46041;&#47456;\&#50900;%20&#44032;&#46041;&#47456;\99&#24180;8&#26376;\NYJ\JMN\PLAN\97PLAN\0924\&#51228;&#54408;&#48324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ucechen1\AppData\Local\Microsoft\Windows\INetCache\Content.Outlook\JPPGGYUG\HMI%20ICRC%20430&#21319;&#32026;&#23560;&#26696;&#36914;&#24230;&#34920;_0131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569;&#52285;&#49437;\C\KTY\&#44221;&#50689;&#54924;&#51032;\&#44277;&#50976;\NYJ\PLAN\97PLAN\0924\&#51228;&#54408;&#48324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3468;&#50980;\99\KTY\Plan\99PLAN\&#49324;&#50629;&#44228;&#54925;\KTY\&#44221;&#50689;&#54924;&#51032;\&#44277;&#50976;\NYJ\PLAN\97PLAN\0924\&#51228;&#54408;&#48324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124;&#49440;\C\NYJ\JMN\PLAN\97PLAN\0924\&#51228;&#54408;&#48324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SOFFICE\Excel\DATA1\DDD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3468;&#50980;\99\KTY\&#48149;&#48337;&#44508;\KTY\Plan\99PLAN\KTY\Plan\98PLAN\&#49373;&#49328;&#44228;&#54925;\FAB&#49373;&#49328;&#44228;&#54925;4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gen\chw\Documents%20and%20Settings\Compaq_Owner\My%20Documents\&#44608;&#46041;&#54984;\01&#51204;&#47141;&#44396;&#44048;&#49884;&#49884;&#49828;&#53596;\&#44221;&#51064;&#44148;&#49444;&#52376;\&#44608;&#54252;-&#54620;&#44053;&#51204;&#47141;&#44396;\&#49444;&#44228;&#49436;\My%20Documents\&#51077;&#52272;\&#48264;&#50689;&#47196;\&#47924;&#50504;&#54616;&#49688;\&#49892;&#54665;(1)\&#45236;&#50669;&#49436;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M"/>
      <sheetName val="DRUM"/>
      <sheetName val="표지"/>
      <sheetName val="EQUIPMENT"/>
      <sheetName val="고압수량(철거)"/>
      <sheetName val="HO ENG MH CAL"/>
      <sheetName val="공문"/>
      <sheetName val="CIVIL"/>
      <sheetName val="환율"/>
      <sheetName val="TC"/>
      <sheetName val="MAN-Sch"/>
      <sheetName val="h-013211-2"/>
      <sheetName val="INPUT DATA"/>
      <sheetName val="CAT_5"/>
      <sheetName val="#REF"/>
      <sheetName val="산근"/>
      <sheetName val="DATA"/>
      <sheetName val="7.2세부 부하계산서"/>
      <sheetName val="PRC_BDWN-95"/>
      <sheetName val="Eq. Mobilization"/>
      <sheetName val="INSTR"/>
      <sheetName val="jobhist"/>
      <sheetName val="집계표(OPTION)"/>
      <sheetName val="기계내역서"/>
      <sheetName val="DHEQSUPT"/>
      <sheetName val="Condition"/>
      <sheetName val="HO_ENG_MH_CAL"/>
      <sheetName val="7_2세부_부하계산서"/>
      <sheetName val="INPUT_DATA"/>
      <sheetName val="BQMPALOC"/>
      <sheetName val="Factor"/>
      <sheetName val=" 갑지"/>
      <sheetName val="운반"/>
      <sheetName val="TDIBM1"/>
      <sheetName val="대비표"/>
      <sheetName val="내역서"/>
      <sheetName val="Base_Data"/>
      <sheetName val="ITB COST"/>
      <sheetName val="COVER-P"/>
      <sheetName val="CIVIL BOQ"/>
      <sheetName val="RAW COST SUMMARY"/>
      <sheetName val="BLDG BOQ"/>
      <sheetName val="rate analyses"/>
      <sheetName val="EQ Total"/>
      <sheetName val="목표세부명세"/>
      <sheetName val="UG_BOM"/>
      <sheetName val="PBS"/>
      <sheetName val="PRC-SUM"/>
      <sheetName val="costing_CV"/>
      <sheetName val="eq_data"/>
      <sheetName val="PUMP_SHT"/>
      <sheetName val="costing_ESDV"/>
      <sheetName val="costing_FE"/>
      <sheetName val="General_Data"/>
      <sheetName val="costing_Misc"/>
      <sheetName val="costing_MOV"/>
      <sheetName val="costing_Press"/>
      <sheetName val="3004-2"/>
      <sheetName val="_갑지1"/>
      <sheetName val="TABLE"/>
      <sheetName val="DB@Acess"/>
      <sheetName val="Total"/>
      <sheetName val="CAL"/>
      <sheetName val="갑지"/>
      <sheetName val="Sheet1"/>
      <sheetName val="노임 단가"/>
      <sheetName val="Al-Suwaidi"/>
      <sheetName val="Price Detail"/>
      <sheetName val="BLDG_DCI"/>
      <sheetName val="BLDG_MCI"/>
      <sheetName val="Pjt Data"/>
      <sheetName val="PROCURE"/>
      <sheetName val="Settings"/>
      <sheetName val="DS Oil System"/>
      <sheetName val="KP1590_E"/>
      <sheetName val="Code"/>
      <sheetName val="footing"/>
      <sheetName val="HO_ENG_MH_CAL1"/>
      <sheetName val="7_2세부_부하계산서1"/>
      <sheetName val="INPUT_DATA1"/>
      <sheetName val="Eq__Mobilization"/>
      <sheetName val="LABCOST"/>
      <sheetName val="CASH"/>
      <sheetName val="일위대가"/>
      <sheetName val="단가(자재)"/>
      <sheetName val="단가(노임)"/>
      <sheetName val="기초목록"/>
      <sheetName val="PRO_DCI"/>
      <sheetName val="INST_DCI"/>
      <sheetName val="HVAC_DCI"/>
      <sheetName val="PIPE_DCI"/>
      <sheetName val="_갑지"/>
      <sheetName val="ITB_COST"/>
      <sheetName val="CIVIL_BOQ"/>
      <sheetName val="RAW_COST_SUMMARY"/>
      <sheetName val="BLDG_BOQ"/>
      <sheetName val="rate_analyses"/>
      <sheetName val="calc"/>
      <sheetName val="plan&amp;section of foundation"/>
      <sheetName val="pile bearing capa &amp; arrenge"/>
      <sheetName val="design load"/>
      <sheetName val="working load at the btm ft."/>
      <sheetName val="stability check"/>
      <sheetName val="design criteria"/>
      <sheetName val="Eq__Mobilization1"/>
      <sheetName val="M 11"/>
      <sheetName val="PIPING"/>
      <sheetName val="insulation"/>
      <sheetName val="Sheet4"/>
      <sheetName val="PIPE"/>
      <sheetName val="ANA&amp;DESIGN&amp;REINF ."/>
      <sheetName val="PRIMARY LOAD"/>
      <sheetName val="DIMENSION"/>
      <sheetName val="EXT.CHECK"/>
      <sheetName val="SUMMARY"/>
      <sheetName val="PIPE (SG)-발수"/>
      <sheetName val="E45(SG)-발수"/>
      <sheetName val="E90(SG)-발수"/>
      <sheetName val="sum"/>
      <sheetName val="lookup"/>
      <sheetName val="PIPE도장"/>
      <sheetName val="2.배관"/>
      <sheetName val="수량증감대비표"/>
      <sheetName val="수량산출1"/>
      <sheetName val="수량산출2"/>
      <sheetName val="수량산출3"/>
      <sheetName val="수량산출4"/>
      <sheetName val="공사비예산서(토목분)"/>
      <sheetName val="AOP Summary-2"/>
      <sheetName val="Proposal"/>
      <sheetName val="CABLE"/>
      <sheetName val="부표총괄"/>
      <sheetName val="공사비증감"/>
      <sheetName val="B"/>
      <sheetName val="집계표"/>
      <sheetName val="할증 "/>
      <sheetName val="내역"/>
      <sheetName val="D-623D"/>
      <sheetName val="뜃맟뭁돽띿맟?-BLDG"/>
      <sheetName val="도"/>
      <sheetName val="BID"/>
      <sheetName val="F4-F7"/>
      <sheetName val="TYPE-B 평균H"/>
      <sheetName val="TTL"/>
      <sheetName val="Default"/>
      <sheetName val="원본"/>
      <sheetName val="월별"/>
      <sheetName val="Macro"/>
      <sheetName val="Taux"/>
      <sheetName val="DATA1"/>
      <sheetName val="trf(36%)"/>
      <sheetName val="공사비 분석표"/>
      <sheetName val="cable-data"/>
      <sheetName val="Prioriry"/>
      <sheetName val="피벗테이블"/>
      <sheetName val="Cash2"/>
      <sheetName val="Z"/>
      <sheetName val="95삼성급(본사)"/>
      <sheetName val="OIL SYST DATA SHTS"/>
      <sheetName val="Compressors"/>
      <sheetName val="금융비용"/>
      <sheetName val="MEXICO-C"/>
      <sheetName val="FitOutConfCentre"/>
      <sheetName val="기준"/>
      <sheetName val="연돌일위집계"/>
      <sheetName val="금액내역서"/>
      <sheetName val="전기공사"/>
      <sheetName val="Food court "/>
      <sheetName val="무시"/>
      <sheetName val="상반기손익차2총괄"/>
      <sheetName val="9-1차이내역"/>
      <sheetName val="97 사업추정(WEKI)"/>
      <sheetName val="손익차9월2"/>
      <sheetName val="회사99"/>
      <sheetName val="주관사업"/>
      <sheetName val="A"/>
      <sheetName val="노원열병합  건축공사기성내역서"/>
      <sheetName val="K"/>
      <sheetName val="BACK DATA"/>
      <sheetName val="영업소실적"/>
      <sheetName val="IT-BAT"/>
      <sheetName val="TOEC"/>
      <sheetName val="을지"/>
      <sheetName val="세금자료"/>
      <sheetName val="사업부배부A"/>
      <sheetName val="직원동원계획"/>
      <sheetName val="인원계획"/>
      <sheetName val="요약배부"/>
      <sheetName val="수입"/>
      <sheetName val="WBS"/>
      <sheetName val="Inst_Type"/>
      <sheetName val="Loop Type"/>
      <sheetName val="인사자료총집계"/>
      <sheetName val="parts-V2"/>
      <sheetName val="REINF."/>
      <sheetName val="SKETCH"/>
      <sheetName val="BOQ"/>
      <sheetName val="간접비 총괄표"/>
      <sheetName val="MAN-STD"/>
      <sheetName val="LENTH"/>
      <sheetName val="Resource table"/>
      <sheetName val="Import"/>
      <sheetName val="Invoice (Summary)"/>
      <sheetName val="Invoice (IBL)"/>
      <sheetName val="Invoice (OBL)"/>
      <sheetName val="HO_ENG_MH_CAL2"/>
      <sheetName val="7_2세부_부하계산서2"/>
      <sheetName val="INPUT_DATA2"/>
      <sheetName val="_갑지2"/>
      <sheetName val="EQ_Total"/>
      <sheetName val="CIVIL_BOQ1"/>
      <sheetName val="RAW_COST_SUMMARY1"/>
      <sheetName val="BLDG_BOQ1"/>
      <sheetName val="rate_analyses1"/>
      <sheetName val="Price_Detail"/>
      <sheetName val="DS_Oil_System"/>
      <sheetName val="ITB_COST1"/>
      <sheetName val="노임_단가"/>
      <sheetName val="AOP_Summary-2"/>
      <sheetName val="Pjt_Data"/>
      <sheetName val="plan&amp;section_of_foundation"/>
      <sheetName val="pile_bearing_capa_&amp;_arrenge"/>
      <sheetName val="design_load"/>
      <sheetName val="working_load_at_the_btm_ft_"/>
      <sheetName val="stability_check"/>
      <sheetName val="design_criteria"/>
      <sheetName val="2_배관"/>
      <sheetName val="SG"/>
      <sheetName val="[TDIBM1.X೺_x0000_ഈ_x0000__x0000__x0000__x0000__x0000_G_MH_CAL"/>
      <sheetName val="말뚝지지력산정"/>
      <sheetName val="실행(1)"/>
      <sheetName val="뜃맟뭁돽띿맟_-BLDG"/>
      <sheetName val="3.Breakdown Direct Instrument"/>
      <sheetName val="Inside building Summary"/>
      <sheetName val="L V Separator"/>
      <sheetName val="Sheet6"/>
      <sheetName val="sheet"/>
      <sheetName val="CB"/>
      <sheetName val="Vertical FDN-12"/>
      <sheetName val="Pump FDN-1"/>
      <sheetName val="Horizontal Vessel FDN-1"/>
      <sheetName val="SYS_DB"/>
      <sheetName val="LEGEND"/>
      <sheetName val="BQMP"/>
      <sheetName val="골조시행"/>
      <sheetName val="March"/>
      <sheetName val="intake"/>
      <sheetName val="inter"/>
      <sheetName val="DATE"/>
      <sheetName val="단면가정"/>
      <sheetName val="설계조건"/>
      <sheetName val="Inert Balls"/>
      <sheetName val="HO_ENG_MH_CAL3"/>
      <sheetName val="INPUT_DATA3"/>
      <sheetName val="7_2세부_부하계산서3"/>
      <sheetName val="Eq__Mobilization2"/>
      <sheetName val="_갑지3"/>
      <sheetName val="EQ_Total1"/>
      <sheetName val="CIVIL_BOQ2"/>
      <sheetName val="RAW_COST_SUMMARY2"/>
      <sheetName val="BLDG_BOQ2"/>
      <sheetName val="rate_analyses2"/>
      <sheetName val="Price_Detail1"/>
      <sheetName val="ITB_COST2"/>
      <sheetName val="DS_Oil_System1"/>
      <sheetName val="노임_단가1"/>
      <sheetName val="AOP_Summary-21"/>
      <sheetName val="plan&amp;section_of_foundation1"/>
      <sheetName val="pile_bearing_capa_&amp;_arrenge1"/>
      <sheetName val="design_load1"/>
      <sheetName val="working_load_at_the_btm_ft_1"/>
      <sheetName val="stability_check1"/>
      <sheetName val="design_criteria1"/>
      <sheetName val="Pjt_Data1"/>
      <sheetName val="2_배관1"/>
      <sheetName val="M_11"/>
      <sheetName val="PIPE_(SG)-발수"/>
      <sheetName val="TYPE-B_평균H"/>
      <sheetName val="ANA&amp;DESIGN&amp;REINF__"/>
      <sheetName val="PRIMARY_LOAD"/>
      <sheetName val="EXT_CHECK"/>
      <sheetName val="할증_"/>
      <sheetName val="Invoice_(Summary)"/>
      <sheetName val="Invoice_(IBL)"/>
      <sheetName val="Invoice_(OBL)"/>
      <sheetName val="OIL_SYST_DATA_SHTS"/>
      <sheetName val="Loop_Type"/>
      <sheetName val="공사비_분석표"/>
      <sheetName val="Resource_table"/>
      <sheetName val="간접비_총괄표"/>
      <sheetName val="[TDIBM1_X೺ഈG_MH_CAL"/>
      <sheetName val="REINF_"/>
      <sheetName val="Food_court_"/>
      <sheetName val="97_사업추정(WEKI)"/>
      <sheetName val="노원열병합__건축공사기성내역서"/>
      <sheetName val="BACK_DATA"/>
      <sheetName val="RFP002"/>
      <sheetName val="Rate Analysis"/>
      <sheetName val="12CGOU"/>
      <sheetName val="총괄내역서"/>
      <sheetName val="_TDIBM1.X೺"/>
      <sheetName val="상세내역"/>
      <sheetName val="시간별적산"/>
      <sheetName val="NO.3.PTA PLANT SD COST"/>
      <sheetName val="비교원RD-S"/>
      <sheetName val="9904"/>
      <sheetName val="9908"/>
      <sheetName val="9912"/>
      <sheetName val="9902"/>
      <sheetName val="9901"/>
      <sheetName val="9907"/>
      <sheetName val="9906"/>
      <sheetName val="9903"/>
      <sheetName val="9905"/>
      <sheetName val="9911"/>
      <sheetName val="9910"/>
      <sheetName val="9909"/>
      <sheetName val="STA &amp; SEC"/>
      <sheetName val="GRACE"/>
      <sheetName val="major"/>
      <sheetName val="창고"/>
      <sheetName val="명판"/>
      <sheetName val="Valve List (Priced)"/>
      <sheetName val="_TDIBM1.X೺_x005f_x0000_ഈ_x005f_x0000__x0000"/>
      <sheetName val="_TDIBM1_X೺ഈG_MH_CAL"/>
      <sheetName val="DESIGN"/>
      <sheetName val="OCT.FDN"/>
      <sheetName val="Sheet2"/>
      <sheetName val="120"/>
      <sheetName val="130"/>
      <sheetName val="100"/>
      <sheetName val="101"/>
      <sheetName val="102"/>
      <sheetName val="103"/>
      <sheetName val="106"/>
      <sheetName val="108"/>
      <sheetName val="109"/>
      <sheetName val="131"/>
      <sheetName val="110"/>
      <sheetName val="111"/>
      <sheetName val="114"/>
      <sheetName val="116"/>
      <sheetName val="132"/>
      <sheetName val="140"/>
      <sheetName val="141"/>
      <sheetName val="142"/>
      <sheetName val="143"/>
      <sheetName val="144"/>
      <sheetName val="145"/>
      <sheetName val="146"/>
      <sheetName val="121"/>
      <sheetName val="147"/>
      <sheetName val="148"/>
      <sheetName val="160"/>
      <sheetName val="164"/>
      <sheetName val="Flaer Area"/>
      <sheetName val="123"/>
      <sheetName val="124"/>
      <sheetName val="125"/>
      <sheetName val="126"/>
      <sheetName val="127"/>
      <sheetName val="128"/>
      <sheetName val="129"/>
      <sheetName val="Tbl 1y 4"/>
      <sheetName val="BELİRLENECEKLER"/>
      <sheetName val="Database"/>
      <sheetName val="Overall Status"/>
      <sheetName val="wagerate"/>
      <sheetName val="ENG_prog"/>
      <sheetName val="Resource summary"/>
      <sheetName val="bdown"/>
      <sheetName val="CostDB"/>
      <sheetName val="실행자재"/>
      <sheetName val="Resource"/>
      <sheetName val="Break Down"/>
      <sheetName val="BQ"/>
      <sheetName val=""/>
      <sheetName val="실행산출근거"/>
      <sheetName val="_TDIBM1.X೺_x0000_ഈ_x0000__x0000__x0000__x0000__x0000_G_MH_CAL"/>
      <sheetName val="Rates"/>
      <sheetName val="[TDIBM1.X೺"/>
      <sheetName val="노임"/>
      <sheetName val="CDU (성창) Master"/>
      <sheetName val="_TDIBM1.X೺_x005f_x005f_x005f_x0000_ഈ_x005f_x005f_"/>
      <sheetName val="토목주소"/>
      <sheetName val="프랜트면허"/>
      <sheetName val="투찰"/>
      <sheetName val="내"/>
      <sheetName val="[TDIBM1.X೺_x005f_x0000_ഈ_x005f_x0000__x0000"/>
      <sheetName val="Kredi Risk Alt_Grup"/>
      <sheetName val="Banka"/>
      <sheetName val="Tür"/>
      <sheetName val="Ana Gruplar"/>
      <sheetName val="ÖdemeTahsilat"/>
      <sheetName val="Kullanıcı"/>
      <sheetName val="Attachment 1"/>
      <sheetName val="Ex Rate"/>
      <sheetName val="B.5_Control Valve"/>
      <sheetName val="코드"/>
      <sheetName val="양수장(기계)"/>
      <sheetName val="자바라1"/>
      <sheetName val="해외 연수비용 계산-삭제"/>
      <sheetName val="해외 기술훈련비 (합계)"/>
      <sheetName val=" 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1-F3"/>
      <sheetName val="F4-F7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리계산(5년)1유역"/>
      <sheetName val="수리계산(5년)2유역"/>
      <sheetName val="수리계산(5년)3유역"/>
      <sheetName val="수리계산(10년)4유역"/>
      <sheetName val="수리계산(10년)5유역"/>
      <sheetName val="표지(목차)"/>
      <sheetName val="표지(자재집계표)"/>
      <sheetName val="표지(토공)"/>
      <sheetName val="표지(배수공)"/>
      <sheetName val="표지(포장공)"/>
      <sheetName val="표지(부대공)"/>
      <sheetName val="공사원가계산서"/>
      <sheetName val="공사원가계산서(전기)"/>
      <sheetName val="총괄재료집계표"/>
      <sheetName val="골재량산출"/>
      <sheetName val="토공집계표"/>
      <sheetName val="토적계산"/>
      <sheetName val="P,E이중관Φ400"/>
      <sheetName val="P,E이중관Φ800"/>
      <sheetName val="P.E이중관보호공800(터파기)"/>
      <sheetName val="우수집수정터파기(A-TYPE)"/>
      <sheetName val="우수집수정터파기(B-TYPE)"/>
      <sheetName val="콘크리트포장깨기"/>
      <sheetName val="배수공수량집계표"/>
      <sheetName val="배수공재료집계표"/>
      <sheetName val="배수몰탈수량"/>
      <sheetName val="L형측구(화강암)A&quot;"/>
      <sheetName val="L형측구(화강암)B&quot;"/>
      <sheetName val="P.E이중관보호공800"/>
      <sheetName val="우수집수정(A-TYPE)"/>
      <sheetName val="우수집수정(B-TYPE)"/>
      <sheetName val="횡배수관날개벽"/>
      <sheetName val="날개벽수량표"/>
      <sheetName val="덕전리"/>
      <sheetName val="준공머리"/>
      <sheetName val="H-PILE수량집계"/>
      <sheetName val="일위대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總表"/>
      <sheetName val="NG"/>
      <sheetName val="SiH4"/>
      <sheetName val="NF3"/>
      <sheetName val="NH3"/>
      <sheetName val="N2O"/>
      <sheetName val="SF6"/>
      <sheetName val="GN2"/>
      <sheetName val="O2"/>
      <sheetName val="Ar"/>
      <sheetName val="He"/>
      <sheetName val="H2"/>
    </sheetNames>
    <sheetDataSet>
      <sheetData sheetId="0" refreshError="1">
        <row r="1">
          <cell r="A1" t="str">
            <v xml:space="preserve">Item </v>
          </cell>
        </row>
        <row r="2">
          <cell r="A2" t="str">
            <v>Month</v>
          </cell>
        </row>
        <row r="3">
          <cell r="A3">
            <v>36526</v>
          </cell>
        </row>
        <row r="4">
          <cell r="A4">
            <v>36557</v>
          </cell>
        </row>
        <row r="5">
          <cell r="A5">
            <v>36586</v>
          </cell>
        </row>
        <row r="6">
          <cell r="A6">
            <v>36617</v>
          </cell>
        </row>
        <row r="7">
          <cell r="A7">
            <v>36647</v>
          </cell>
        </row>
        <row r="8">
          <cell r="A8">
            <v>36678</v>
          </cell>
        </row>
        <row r="9">
          <cell r="A9">
            <v>36708</v>
          </cell>
        </row>
        <row r="10">
          <cell r="A10">
            <v>36739</v>
          </cell>
        </row>
        <row r="11">
          <cell r="A11">
            <v>36770</v>
          </cell>
        </row>
        <row r="12">
          <cell r="A12">
            <v>36800</v>
          </cell>
        </row>
        <row r="13">
          <cell r="A13">
            <v>36831</v>
          </cell>
        </row>
        <row r="14">
          <cell r="A14">
            <v>36861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燈具插座計算-四知八村"/>
      <sheetName val="C1"/>
      <sheetName val="給排水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노임단가"/>
      <sheetName val="부표9705"/>
      <sheetName val="수량집계"/>
      <sheetName val="별표"/>
      <sheetName val="부표"/>
      <sheetName val="품셈"/>
      <sheetName val="공예을"/>
      <sheetName val="간공양"/>
      <sheetName val="철근수량"/>
      <sheetName val="자재단가표"/>
      <sheetName val="수량"/>
      <sheetName val="집계"/>
      <sheetName val="공예갑"/>
      <sheetName val="날개벽수량표"/>
      <sheetName val="찍기"/>
      <sheetName val="기성"/>
      <sheetName val="주현(해보)"/>
      <sheetName val="주현(영광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TG9504"/>
      <sheetName val="Total pt-base"/>
      <sheetName val="IS Data (2001)"/>
      <sheetName val="EXTENSION현황"/>
      <sheetName val="FOB발"/>
      <sheetName val="1998"/>
      <sheetName val="FT"/>
      <sheetName val="設定"/>
      <sheetName val="95TOTREV"/>
      <sheetName val="6F8"/>
      <sheetName val="제품별"/>
      <sheetName val="車両"/>
      <sheetName val="分類"/>
      <sheetName val="FACTOR"/>
      <sheetName val="TOEIC기준점수"/>
      <sheetName val="MatchCode"/>
      <sheetName val="8)중점관리장비현황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TG9504"/>
      <sheetName val="Total pt-base"/>
      <sheetName val="960318-1"/>
      <sheetName val="F5"/>
      <sheetName val="제품별"/>
      <sheetName val="수불1Q"/>
      <sheetName val="수불2Q"/>
      <sheetName val="수불3Q"/>
      <sheetName val="수불4Q"/>
      <sheetName val="GF2"/>
      <sheetName val="512sd"/>
      <sheetName val="Sale"/>
      <sheetName val="TAT"/>
      <sheetName val="YL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Total pt-base"/>
      <sheetName val="960318-1"/>
      <sheetName val="TG9504"/>
      <sheetName val="95TOTREV"/>
      <sheetName val="97센_협"/>
      <sheetName val="FAB4생산"/>
      <sheetName val="원본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月維修費用"/>
      <sheetName val="1月call off"/>
      <sheetName val="1月維修費總表"/>
      <sheetName val="1月維修費趨勢圖"/>
      <sheetName val="Sheet1"/>
      <sheetName val="AOD"/>
      <sheetName val="Review Table"/>
      <sheetName val="費用調整後"/>
      <sheetName val="調整前"/>
      <sheetName val="5月保三差異分析"/>
      <sheetName val="1. 費用AOD"/>
      <sheetName val="保三修理"/>
      <sheetName val="保三保養"/>
      <sheetName val="費用IP"/>
      <sheetName val="2. 效率AOD"/>
      <sheetName val="5. 異常AOD"/>
      <sheetName val="5. 異常IP"/>
      <sheetName val="7. 監控"/>
      <sheetName val="K7"/>
      <sheetName val="工時分析"/>
      <sheetName val="05.1.P"/>
      <sheetName val="05.2.P"/>
      <sheetName val="05.3.P"/>
      <sheetName val="05.4.P"/>
      <sheetName val="05.5.P"/>
      <sheetName val="05.6.P"/>
      <sheetName val="05.7.P"/>
      <sheetName val="05.8.P"/>
      <sheetName val="05.9.P"/>
      <sheetName val="05.10.P"/>
      <sheetName val="05.11.P"/>
      <sheetName val="在途"/>
      <sheetName val="Bumping EE"/>
      <sheetName val="520_02"/>
      <sheetName val="1.3.1. License "/>
      <sheetName val="1.3.2. 監控電腦數量名稱"/>
      <sheetName val="Quality Index"/>
      <sheetName val="1月call_off"/>
      <sheetName val="Review_Table"/>
      <sheetName val="1__費用AOD"/>
      <sheetName val="2__效率AOD"/>
      <sheetName val="5__異常AOD"/>
      <sheetName val="5__異常IP"/>
      <sheetName val="7__監控"/>
      <sheetName val="Bumping_EE"/>
      <sheetName val="1_3_1__License_"/>
      <sheetName val="1_3_2__監控電腦數量名稱"/>
      <sheetName val="details"/>
      <sheetName val="電"/>
      <sheetName val=" 查檢表"/>
      <sheetName val="0412"/>
      <sheetName val="INTRO"/>
      <sheetName val="工作表2"/>
      <sheetName val=""/>
      <sheetName val="分類List"/>
      <sheetName val="時間 狀況"/>
      <sheetName val="作業環境"/>
      <sheetName val="時間狀態作業環境"/>
      <sheetName val="類別"/>
      <sheetName val="樞紐"/>
      <sheetName val="Appendix"/>
      <sheetName val="其他資料維護"/>
      <sheetName val="Au-CA"/>
      <sheetName val="2018H1學科受測站別(選項)"/>
      <sheetName val="PO"/>
      <sheetName val="參數"/>
      <sheetName val="除外工時排序"/>
      <sheetName val="學科受測站別"/>
      <sheetName val="20180329電燈器具"/>
      <sheetName val="(3)高低壓管線.電燈器具 (2)"/>
      <sheetName val="防爆燈"/>
      <sheetName val="工作表3"/>
      <sheetName val="(10)帷幕照明"/>
      <sheetName val="(3)高低壓管線.電燈器具"/>
      <sheetName val="分類表"/>
      <sheetName val="負責人"/>
      <sheetName val="Test Quoter"/>
      <sheetName val="QuoteData"/>
      <sheetName val="清單"/>
      <sheetName val="下拉清單"/>
    </sheetNames>
    <sheetDataSet>
      <sheetData sheetId="0" refreshError="1">
        <row r="1">
          <cell r="B1" t="str">
            <v>F A C  --- J A N 維 修 費 用</v>
          </cell>
        </row>
        <row r="10">
          <cell r="A10" t="str">
            <v>E15</v>
          </cell>
          <cell r="B10" t="str">
            <v>PR</v>
          </cell>
          <cell r="C10" t="str">
            <v>黃志成</v>
          </cell>
          <cell r="D10">
            <v>37257</v>
          </cell>
          <cell r="E10">
            <v>6108</v>
          </cell>
          <cell r="F10" t="str">
            <v>K2-1F隔間裝修工程</v>
          </cell>
          <cell r="G10" t="str">
            <v>M201070006</v>
          </cell>
          <cell r="H10">
            <v>14500</v>
          </cell>
        </row>
        <row r="11">
          <cell r="B11" t="str">
            <v>PR</v>
          </cell>
          <cell r="C11" t="str">
            <v>劉啟泰</v>
          </cell>
          <cell r="D11">
            <v>37259</v>
          </cell>
          <cell r="E11">
            <v>2100</v>
          </cell>
          <cell r="F11" t="str">
            <v>冷氣口出風馬達</v>
          </cell>
          <cell r="G11" t="str">
            <v>M201070004</v>
          </cell>
          <cell r="H11">
            <v>6600</v>
          </cell>
        </row>
        <row r="12">
          <cell r="B12" t="str">
            <v>PR</v>
          </cell>
          <cell r="C12" t="str">
            <v>黃志成</v>
          </cell>
          <cell r="D12">
            <v>37286</v>
          </cell>
          <cell r="E12">
            <v>6710</v>
          </cell>
          <cell r="F12" t="str">
            <v>K4-1F IQA裝修工程</v>
          </cell>
          <cell r="G12" t="str">
            <v>M202070004</v>
          </cell>
          <cell r="H12">
            <v>80000</v>
          </cell>
        </row>
        <row r="13">
          <cell r="B13" t="str">
            <v>PR</v>
          </cell>
          <cell r="C13" t="str">
            <v>蔡榮輝</v>
          </cell>
          <cell r="D13">
            <v>37267</v>
          </cell>
          <cell r="E13">
            <v>6104</v>
          </cell>
          <cell r="F13" t="str">
            <v>華新麗華 PVC電線</v>
          </cell>
          <cell r="G13" t="str">
            <v>M201180007</v>
          </cell>
          <cell r="H13">
            <v>1640</v>
          </cell>
        </row>
        <row r="14">
          <cell r="A14" t="str">
            <v>管制值</v>
          </cell>
          <cell r="B14">
            <v>90000</v>
          </cell>
          <cell r="C14">
            <v>0</v>
          </cell>
          <cell r="D14" t="str">
            <v>小計</v>
          </cell>
          <cell r="E14">
            <v>102740</v>
          </cell>
        </row>
        <row r="15">
          <cell r="A15" t="str">
            <v>E20</v>
          </cell>
          <cell r="B15" t="str">
            <v>Call off</v>
          </cell>
          <cell r="C15" t="str">
            <v>鐘育成</v>
          </cell>
          <cell r="D15">
            <v>37261</v>
          </cell>
          <cell r="E15">
            <v>6104</v>
          </cell>
          <cell r="H15">
            <v>2167</v>
          </cell>
        </row>
        <row r="16">
          <cell r="B16" t="str">
            <v>Call off</v>
          </cell>
          <cell r="C16" t="str">
            <v>陳韋成</v>
          </cell>
          <cell r="D16">
            <v>37261</v>
          </cell>
          <cell r="E16">
            <v>6205</v>
          </cell>
          <cell r="H16">
            <v>2600</v>
          </cell>
        </row>
        <row r="17">
          <cell r="B17" t="str">
            <v>PR</v>
          </cell>
          <cell r="C17" t="str">
            <v>陳信男</v>
          </cell>
          <cell r="D17">
            <v>37263</v>
          </cell>
          <cell r="E17">
            <v>6205</v>
          </cell>
          <cell r="F17" t="str">
            <v>K5-4F後段烤箱電源工程</v>
          </cell>
          <cell r="G17" t="str">
            <v>M201160002</v>
          </cell>
          <cell r="H17">
            <v>85000</v>
          </cell>
        </row>
        <row r="18">
          <cell r="B18" t="str">
            <v>PR</v>
          </cell>
          <cell r="C18" t="str">
            <v>陳信男</v>
          </cell>
          <cell r="D18">
            <v>37263</v>
          </cell>
          <cell r="E18">
            <v>6205</v>
          </cell>
          <cell r="F18" t="str">
            <v>K5-4F後段烤箱抽氣工程</v>
          </cell>
          <cell r="G18" t="str">
            <v>M201160003</v>
          </cell>
          <cell r="H18">
            <v>49000</v>
          </cell>
        </row>
        <row r="19">
          <cell r="B19" t="str">
            <v>PR</v>
          </cell>
          <cell r="C19" t="str">
            <v>陳韋成</v>
          </cell>
          <cell r="D19">
            <v>37264</v>
          </cell>
          <cell r="E19">
            <v>6205</v>
          </cell>
          <cell r="F19" t="str">
            <v xml:space="preserve">PVC電纜 </v>
          </cell>
          <cell r="G19" t="str">
            <v>M201160001</v>
          </cell>
          <cell r="H19">
            <v>7300</v>
          </cell>
        </row>
        <row r="20">
          <cell r="B20" t="str">
            <v>Call off</v>
          </cell>
          <cell r="C20" t="str">
            <v>陳韋成</v>
          </cell>
          <cell r="D20">
            <v>37279</v>
          </cell>
          <cell r="E20">
            <v>6205</v>
          </cell>
          <cell r="H20">
            <v>1500</v>
          </cell>
        </row>
        <row r="21">
          <cell r="B21" t="str">
            <v>PR</v>
          </cell>
          <cell r="C21" t="str">
            <v>鐘育成</v>
          </cell>
          <cell r="D21">
            <v>37265</v>
          </cell>
          <cell r="E21">
            <v>6106</v>
          </cell>
          <cell r="F21" t="str">
            <v>K3-4F前段 PLASMA機台抽氣工程</v>
          </cell>
          <cell r="G21" t="str">
            <v>M201180003</v>
          </cell>
          <cell r="H21">
            <v>10000</v>
          </cell>
        </row>
        <row r="22">
          <cell r="B22" t="str">
            <v>Call off</v>
          </cell>
          <cell r="C22" t="str">
            <v>陳韋成</v>
          </cell>
          <cell r="D22">
            <v>37279</v>
          </cell>
          <cell r="E22">
            <v>6107</v>
          </cell>
          <cell r="H22">
            <v>3360</v>
          </cell>
        </row>
        <row r="23">
          <cell r="B23" t="str">
            <v>call off</v>
          </cell>
          <cell r="C23" t="str">
            <v>陳韋成</v>
          </cell>
          <cell r="D23">
            <v>37286</v>
          </cell>
          <cell r="E23">
            <v>6207</v>
          </cell>
          <cell r="H23">
            <v>5148</v>
          </cell>
        </row>
        <row r="24">
          <cell r="B24" t="str">
            <v>PR</v>
          </cell>
          <cell r="C24" t="str">
            <v>陳韋成</v>
          </cell>
          <cell r="D24">
            <v>37281</v>
          </cell>
          <cell r="E24">
            <v>6207</v>
          </cell>
          <cell r="F24" t="str">
            <v>PVC電纜 5.5*4C</v>
          </cell>
          <cell r="H24">
            <v>3300</v>
          </cell>
        </row>
        <row r="25">
          <cell r="B25" t="str">
            <v>call off</v>
          </cell>
          <cell r="C25" t="str">
            <v>陳韋成</v>
          </cell>
          <cell r="D25">
            <v>37286</v>
          </cell>
          <cell r="E25">
            <v>6109</v>
          </cell>
          <cell r="H25">
            <v>4200</v>
          </cell>
        </row>
        <row r="26">
          <cell r="B26" t="str">
            <v>Call off</v>
          </cell>
          <cell r="C26" t="str">
            <v>陳韋成</v>
          </cell>
          <cell r="D26">
            <v>37279</v>
          </cell>
          <cell r="E26">
            <v>6209</v>
          </cell>
          <cell r="H26">
            <v>3999</v>
          </cell>
        </row>
        <row r="27">
          <cell r="B27" t="str">
            <v>PR</v>
          </cell>
          <cell r="C27" t="str">
            <v>陳韋成</v>
          </cell>
          <cell r="D27">
            <v>37272</v>
          </cell>
          <cell r="E27">
            <v>6209</v>
          </cell>
          <cell r="F27" t="str">
            <v>電纜線 3.5 C*3 C…………..</v>
          </cell>
          <cell r="G27" t="str">
            <v>M201210003</v>
          </cell>
          <cell r="H27">
            <v>18800</v>
          </cell>
        </row>
        <row r="28">
          <cell r="B28" t="str">
            <v>Call off</v>
          </cell>
          <cell r="C28" t="str">
            <v>陳韋成</v>
          </cell>
          <cell r="D28">
            <v>37261</v>
          </cell>
          <cell r="E28">
            <v>6209</v>
          </cell>
          <cell r="H28">
            <v>1990</v>
          </cell>
        </row>
        <row r="29">
          <cell r="B29" t="str">
            <v>Call off</v>
          </cell>
          <cell r="C29" t="str">
            <v>陳韋成</v>
          </cell>
          <cell r="D29">
            <v>37261</v>
          </cell>
          <cell r="E29">
            <v>5200</v>
          </cell>
          <cell r="H29">
            <v>710</v>
          </cell>
        </row>
        <row r="30">
          <cell r="B30" t="str">
            <v>PR</v>
          </cell>
          <cell r="C30" t="str">
            <v>蔡慶隆</v>
          </cell>
          <cell r="D30">
            <v>37281</v>
          </cell>
          <cell r="E30">
            <v>5200</v>
          </cell>
          <cell r="F30" t="str">
            <v>華新麗華5.5m㎡*4C</v>
          </cell>
          <cell r="H30">
            <v>3300</v>
          </cell>
        </row>
        <row r="31">
          <cell r="B31" t="str">
            <v>PR</v>
          </cell>
          <cell r="C31" t="str">
            <v>鐘育成</v>
          </cell>
          <cell r="D31">
            <v>37280</v>
          </cell>
          <cell r="E31">
            <v>5200</v>
          </cell>
          <cell r="F31" t="str">
            <v>K1-1F RD PILOT LINE新增清洗機抽風工程</v>
          </cell>
          <cell r="G31" t="str">
            <v>M202010003</v>
          </cell>
          <cell r="H31">
            <v>7000</v>
          </cell>
        </row>
        <row r="32">
          <cell r="B32" t="str">
            <v>call off</v>
          </cell>
          <cell r="C32" t="str">
            <v>蔡慶隆</v>
          </cell>
          <cell r="D32">
            <v>37281</v>
          </cell>
          <cell r="E32">
            <v>5200</v>
          </cell>
          <cell r="H32">
            <v>849</v>
          </cell>
        </row>
        <row r="33">
          <cell r="B33" t="str">
            <v>PR</v>
          </cell>
          <cell r="C33" t="str">
            <v>陳韋成</v>
          </cell>
          <cell r="D33">
            <v>37272</v>
          </cell>
          <cell r="E33">
            <v>5600</v>
          </cell>
          <cell r="F33" t="str">
            <v>5.5 C*3 C電纜線</v>
          </cell>
          <cell r="G33" t="str">
            <v>M201210002</v>
          </cell>
          <cell r="H33">
            <v>2300</v>
          </cell>
        </row>
        <row r="34">
          <cell r="B34" t="str">
            <v>Call off</v>
          </cell>
          <cell r="C34" t="str">
            <v>陳韋成</v>
          </cell>
          <cell r="D34">
            <v>37279</v>
          </cell>
          <cell r="E34">
            <v>5600</v>
          </cell>
          <cell r="H34">
            <v>1500</v>
          </cell>
        </row>
        <row r="35">
          <cell r="B35" t="str">
            <v>Call off</v>
          </cell>
          <cell r="C35" t="str">
            <v>紀志忠</v>
          </cell>
          <cell r="D35">
            <v>37264</v>
          </cell>
          <cell r="E35">
            <v>6500</v>
          </cell>
          <cell r="H35">
            <v>2700</v>
          </cell>
        </row>
        <row r="36">
          <cell r="B36" t="str">
            <v>PR</v>
          </cell>
          <cell r="C36" t="str">
            <v>伍展逸</v>
          </cell>
          <cell r="D36">
            <v>37270</v>
          </cell>
          <cell r="E36">
            <v>6900</v>
          </cell>
          <cell r="F36" t="str">
            <v>Bumping chase3 PR Coater 機台抽氣配管工程</v>
          </cell>
          <cell r="G36" t="str">
            <v>M201210006</v>
          </cell>
          <cell r="H36">
            <v>7300</v>
          </cell>
        </row>
        <row r="37">
          <cell r="A37" t="str">
            <v>管制值</v>
          </cell>
          <cell r="B37">
            <v>126000</v>
          </cell>
          <cell r="C37">
            <v>0</v>
          </cell>
          <cell r="D37" t="str">
            <v>小計</v>
          </cell>
          <cell r="E37">
            <v>224023</v>
          </cell>
        </row>
        <row r="38">
          <cell r="A38" t="str">
            <v>E21</v>
          </cell>
          <cell r="B38" t="str">
            <v>PR</v>
          </cell>
          <cell r="C38" t="str">
            <v>翁恒棋</v>
          </cell>
          <cell r="D38">
            <v>37260</v>
          </cell>
          <cell r="E38">
            <v>4120</v>
          </cell>
          <cell r="F38" t="str">
            <v>K1 地下室工會滲水處理</v>
          </cell>
          <cell r="G38" t="str">
            <v>M201100011</v>
          </cell>
          <cell r="H38">
            <v>12000</v>
          </cell>
        </row>
        <row r="39">
          <cell r="B39" t="str">
            <v>call off</v>
          </cell>
          <cell r="C39" t="str">
            <v>陳韋成</v>
          </cell>
          <cell r="D39">
            <v>37287</v>
          </cell>
          <cell r="E39">
            <v>4120</v>
          </cell>
          <cell r="H39">
            <v>650</v>
          </cell>
        </row>
        <row r="40">
          <cell r="B40" t="str">
            <v>PR</v>
          </cell>
          <cell r="C40" t="str">
            <v>翁恒棋</v>
          </cell>
          <cell r="D40">
            <v>37284</v>
          </cell>
          <cell r="E40">
            <v>6104</v>
          </cell>
          <cell r="F40" t="str">
            <v>K3-2F.3F F/E.A/B 門加裝陽極電鍞工事</v>
          </cell>
          <cell r="G40" t="str">
            <v>M202050010</v>
          </cell>
          <cell r="H40">
            <v>34000</v>
          </cell>
        </row>
        <row r="41">
          <cell r="B41" t="str">
            <v>call off</v>
          </cell>
          <cell r="C41" t="str">
            <v>陳韋成</v>
          </cell>
          <cell r="D41">
            <v>37261</v>
          </cell>
          <cell r="E41">
            <v>6105</v>
          </cell>
          <cell r="H41">
            <v>615</v>
          </cell>
        </row>
        <row r="42">
          <cell r="B42" t="str">
            <v>call off</v>
          </cell>
          <cell r="C42" t="str">
            <v>陳韋成</v>
          </cell>
          <cell r="D42">
            <v>37272</v>
          </cell>
          <cell r="E42">
            <v>6205</v>
          </cell>
          <cell r="H42">
            <v>4200</v>
          </cell>
        </row>
        <row r="43">
          <cell r="B43" t="str">
            <v>PR</v>
          </cell>
          <cell r="C43" t="str">
            <v>黃志成</v>
          </cell>
          <cell r="D43">
            <v>37278</v>
          </cell>
          <cell r="E43">
            <v>6206</v>
          </cell>
          <cell r="F43" t="str">
            <v>K3-4F後段牆面修繕工程</v>
          </cell>
          <cell r="G43" t="str">
            <v>M201280002</v>
          </cell>
          <cell r="H43">
            <v>13000</v>
          </cell>
        </row>
        <row r="44">
          <cell r="B44" t="str">
            <v>PR</v>
          </cell>
          <cell r="C44" t="str">
            <v>黃志成</v>
          </cell>
          <cell r="D44">
            <v>37287</v>
          </cell>
          <cell r="E44">
            <v>6206</v>
          </cell>
          <cell r="F44" t="str">
            <v>K3-1F後段牆鋁修修繕工和</v>
          </cell>
          <cell r="G44" t="str">
            <v>M202050001</v>
          </cell>
          <cell r="H44">
            <v>8140</v>
          </cell>
        </row>
        <row r="45">
          <cell r="B45" t="str">
            <v>PR</v>
          </cell>
          <cell r="C45" t="str">
            <v>李春億</v>
          </cell>
          <cell r="D45">
            <v>37267</v>
          </cell>
          <cell r="E45">
            <v>6207</v>
          </cell>
          <cell r="F45" t="str">
            <v>K5-2F（A214站）ESD接地銅線及地板更新</v>
          </cell>
          <cell r="G45" t="str">
            <v>M201190002</v>
          </cell>
          <cell r="H45">
            <v>48100</v>
          </cell>
        </row>
        <row r="46">
          <cell r="B46" t="str">
            <v>call off</v>
          </cell>
          <cell r="C46" t="str">
            <v>周文豪</v>
          </cell>
          <cell r="D46">
            <v>37270</v>
          </cell>
          <cell r="E46">
            <v>6500</v>
          </cell>
          <cell r="H46">
            <v>1380</v>
          </cell>
        </row>
        <row r="47">
          <cell r="B47" t="str">
            <v>call off</v>
          </cell>
          <cell r="C47" t="str">
            <v>馬清宮</v>
          </cell>
          <cell r="D47">
            <v>37277</v>
          </cell>
          <cell r="E47">
            <v>6500</v>
          </cell>
          <cell r="H47">
            <v>3694</v>
          </cell>
        </row>
        <row r="48">
          <cell r="B48" t="str">
            <v>PR</v>
          </cell>
          <cell r="C48" t="str">
            <v>曾志銘</v>
          </cell>
          <cell r="D48">
            <v>37267</v>
          </cell>
          <cell r="E48" t="str">
            <v>650Q</v>
          </cell>
          <cell r="F48" t="str">
            <v>K3空壓機房防水工程</v>
          </cell>
          <cell r="G48" t="str">
            <v>M201170004</v>
          </cell>
          <cell r="H48">
            <v>18000</v>
          </cell>
        </row>
        <row r="49">
          <cell r="B49" t="str">
            <v>PR</v>
          </cell>
          <cell r="C49" t="str">
            <v>黃志成</v>
          </cell>
          <cell r="D49">
            <v>37278</v>
          </cell>
          <cell r="E49" t="str">
            <v>650X</v>
          </cell>
          <cell r="F49" t="str">
            <v>K5-地下室廢水池隔間工程</v>
          </cell>
          <cell r="G49" t="str">
            <v>M201280001</v>
          </cell>
          <cell r="H49">
            <v>111500</v>
          </cell>
        </row>
        <row r="50">
          <cell r="B50" t="str">
            <v>PR</v>
          </cell>
          <cell r="C50" t="str">
            <v>林國盛</v>
          </cell>
          <cell r="D50">
            <v>37281</v>
          </cell>
          <cell r="E50" t="str">
            <v>650V</v>
          </cell>
          <cell r="F50" t="str">
            <v>K5-東側1F安全門修理</v>
          </cell>
          <cell r="G50" t="str">
            <v>M201300002</v>
          </cell>
          <cell r="H50">
            <v>9600</v>
          </cell>
        </row>
        <row r="51">
          <cell r="A51" t="str">
            <v>管制值</v>
          </cell>
          <cell r="B51">
            <v>276944</v>
          </cell>
          <cell r="C51">
            <v>0</v>
          </cell>
          <cell r="D51" t="str">
            <v>小計</v>
          </cell>
          <cell r="E51">
            <v>264879</v>
          </cell>
        </row>
        <row r="52">
          <cell r="A52" t="str">
            <v>E22</v>
          </cell>
          <cell r="B52" t="str">
            <v>PR</v>
          </cell>
          <cell r="C52" t="str">
            <v>蕭家豪</v>
          </cell>
          <cell r="D52">
            <v>37258</v>
          </cell>
          <cell r="E52">
            <v>6500</v>
          </cell>
          <cell r="F52" t="str">
            <v>東亞日光燈管</v>
          </cell>
          <cell r="H52">
            <v>10000</v>
          </cell>
        </row>
        <row r="53">
          <cell r="B53" t="str">
            <v>PR</v>
          </cell>
          <cell r="C53" t="str">
            <v>蕭家豪</v>
          </cell>
          <cell r="D53">
            <v>37257</v>
          </cell>
          <cell r="E53">
            <v>6500</v>
          </cell>
          <cell r="F53" t="str">
            <v>K3-600RT冷卻水塔蝶閥工程</v>
          </cell>
          <cell r="G53" t="str">
            <v>M201070005</v>
          </cell>
          <cell r="H53">
            <v>156000</v>
          </cell>
        </row>
        <row r="54">
          <cell r="B54" t="str">
            <v>PR</v>
          </cell>
          <cell r="C54" t="str">
            <v>李崇銘</v>
          </cell>
          <cell r="D54">
            <v>37274</v>
          </cell>
          <cell r="E54">
            <v>6500</v>
          </cell>
          <cell r="F54" t="str">
            <v>東亞日光燈管 FL40D</v>
          </cell>
          <cell r="G54" t="str">
            <v>M201280007</v>
          </cell>
          <cell r="H54">
            <v>10000</v>
          </cell>
        </row>
        <row r="55">
          <cell r="B55" t="str">
            <v>call off</v>
          </cell>
          <cell r="C55" t="str">
            <v>虞積仁</v>
          </cell>
          <cell r="D55">
            <v>37278</v>
          </cell>
          <cell r="E55">
            <v>6500</v>
          </cell>
          <cell r="H55">
            <v>1336</v>
          </cell>
        </row>
        <row r="56">
          <cell r="B56" t="str">
            <v>PR</v>
          </cell>
          <cell r="C56" t="str">
            <v>郭孟淵</v>
          </cell>
          <cell r="D56">
            <v>37287</v>
          </cell>
          <cell r="E56">
            <v>6500</v>
          </cell>
          <cell r="F56" t="str">
            <v>K2-P8機台排放污水池抽水管路修繕工程</v>
          </cell>
          <cell r="G56" t="str">
            <v>M202050005</v>
          </cell>
          <cell r="H56">
            <v>60000</v>
          </cell>
        </row>
        <row r="57">
          <cell r="B57" t="str">
            <v>PR</v>
          </cell>
          <cell r="C57" t="str">
            <v>郭孟淵</v>
          </cell>
          <cell r="D57">
            <v>37287</v>
          </cell>
          <cell r="E57">
            <v>6500</v>
          </cell>
          <cell r="F57" t="str">
            <v>K2化糞池污水泵浦更換新品</v>
          </cell>
          <cell r="G57" t="str">
            <v>M202050006</v>
          </cell>
          <cell r="H57">
            <v>16000</v>
          </cell>
        </row>
        <row r="58">
          <cell r="B58" t="str">
            <v>PR</v>
          </cell>
          <cell r="C58" t="str">
            <v>陳韋成</v>
          </cell>
          <cell r="D58">
            <v>37286</v>
          </cell>
          <cell r="E58" t="str">
            <v>650V</v>
          </cell>
          <cell r="F58" t="str">
            <v>日光燈管 40W.20W</v>
          </cell>
          <cell r="G58" t="str">
            <v>M202050012</v>
          </cell>
          <cell r="H58">
            <v>6700</v>
          </cell>
        </row>
        <row r="59">
          <cell r="B59" t="str">
            <v>call off</v>
          </cell>
          <cell r="C59" t="str">
            <v>蔡慶隆</v>
          </cell>
          <cell r="D59">
            <v>37286</v>
          </cell>
          <cell r="E59">
            <v>6104</v>
          </cell>
          <cell r="H59">
            <v>1565</v>
          </cell>
        </row>
        <row r="60">
          <cell r="B60" t="str">
            <v>PR</v>
          </cell>
          <cell r="C60" t="str">
            <v>蔡榮輝</v>
          </cell>
          <cell r="D60">
            <v>37263</v>
          </cell>
          <cell r="E60">
            <v>6204</v>
          </cell>
          <cell r="F60" t="str">
            <v>K3-2F電鍍區加凡爾工程</v>
          </cell>
          <cell r="G60" t="str">
            <v>M201110002</v>
          </cell>
          <cell r="H60">
            <v>5000</v>
          </cell>
        </row>
        <row r="61">
          <cell r="B61" t="str">
            <v>call off</v>
          </cell>
          <cell r="C61" t="str">
            <v>郭孟淵</v>
          </cell>
          <cell r="D61">
            <v>37266</v>
          </cell>
          <cell r="E61">
            <v>4120</v>
          </cell>
          <cell r="H61">
            <v>9700</v>
          </cell>
        </row>
        <row r="62">
          <cell r="B62" t="str">
            <v>PR</v>
          </cell>
          <cell r="C62" t="str">
            <v>郭孟淵</v>
          </cell>
          <cell r="D62">
            <v>37271</v>
          </cell>
          <cell r="E62">
            <v>4140</v>
          </cell>
          <cell r="F62" t="str">
            <v>K3-1F電鍍區供應自來水DI水管路配管施工</v>
          </cell>
          <cell r="G62" t="str">
            <v>M202050016</v>
          </cell>
          <cell r="H62">
            <v>92000</v>
          </cell>
        </row>
        <row r="63">
          <cell r="B63" t="str">
            <v>PR</v>
          </cell>
          <cell r="C63" t="str">
            <v>陳韋成</v>
          </cell>
          <cell r="D63">
            <v>37286</v>
          </cell>
          <cell r="E63">
            <v>6109</v>
          </cell>
          <cell r="F63" t="str">
            <v>三波長太陽種燈具</v>
          </cell>
          <cell r="G63" t="str">
            <v>M202160002</v>
          </cell>
          <cell r="H63">
            <v>7400</v>
          </cell>
        </row>
        <row r="64">
          <cell r="B64" t="str">
            <v>PR</v>
          </cell>
          <cell r="C64" t="str">
            <v>伍展逸</v>
          </cell>
          <cell r="D64">
            <v>37265</v>
          </cell>
          <cell r="E64">
            <v>6900</v>
          </cell>
          <cell r="F64" t="str">
            <v>K5 Bumping白色日光燈  型號：FL 40D/38C</v>
          </cell>
          <cell r="G64" t="str">
            <v>M202050007</v>
          </cell>
          <cell r="H64">
            <v>2500</v>
          </cell>
        </row>
        <row r="65">
          <cell r="A65" t="str">
            <v>管制值</v>
          </cell>
          <cell r="B65">
            <v>132100</v>
          </cell>
          <cell r="C65">
            <v>0</v>
          </cell>
          <cell r="D65" t="str">
            <v>小計</v>
          </cell>
          <cell r="E65">
            <v>378201</v>
          </cell>
        </row>
        <row r="66">
          <cell r="A66" t="str">
            <v>E23</v>
          </cell>
          <cell r="B66" t="str">
            <v>PR</v>
          </cell>
          <cell r="C66" t="str">
            <v>林國盛</v>
          </cell>
          <cell r="D66">
            <v>37257</v>
          </cell>
          <cell r="E66" t="str">
            <v>650V</v>
          </cell>
          <cell r="F66" t="str">
            <v>K5-電梯車廂鋼板修理</v>
          </cell>
          <cell r="G66" t="str">
            <v>M201110001</v>
          </cell>
          <cell r="H66">
            <v>43000</v>
          </cell>
        </row>
        <row r="67">
          <cell r="B67" t="str">
            <v>PR</v>
          </cell>
          <cell r="C67" t="str">
            <v>林國盛</v>
          </cell>
          <cell r="D67">
            <v>37270</v>
          </cell>
          <cell r="E67" t="str">
            <v>650V</v>
          </cell>
          <cell r="F67" t="str">
            <v>K5-C1電梯故障檢修</v>
          </cell>
          <cell r="G67" t="str">
            <v>M201190001</v>
          </cell>
          <cell r="H67">
            <v>29900</v>
          </cell>
        </row>
        <row r="68">
          <cell r="B68" t="str">
            <v>call off</v>
          </cell>
          <cell r="C68" t="str">
            <v>蔡啟仁</v>
          </cell>
          <cell r="D68">
            <v>37273</v>
          </cell>
          <cell r="E68" t="str">
            <v>650V</v>
          </cell>
          <cell r="F68" t="str">
            <v>RO濾心組</v>
          </cell>
          <cell r="H68">
            <v>4400</v>
          </cell>
        </row>
        <row r="69">
          <cell r="B69" t="str">
            <v>PR</v>
          </cell>
          <cell r="C69" t="str">
            <v>郭孟淵</v>
          </cell>
          <cell r="D69">
            <v>37270</v>
          </cell>
          <cell r="E69">
            <v>6500</v>
          </cell>
          <cell r="F69" t="str">
            <v>桌上型電話機、電腦用插線刀</v>
          </cell>
          <cell r="G69" t="str">
            <v>M201180008</v>
          </cell>
          <cell r="H69">
            <v>16800</v>
          </cell>
        </row>
        <row r="70">
          <cell r="B70" t="str">
            <v>PR</v>
          </cell>
          <cell r="C70" t="str">
            <v>張家祥</v>
          </cell>
          <cell r="D70">
            <v>37273</v>
          </cell>
          <cell r="E70">
            <v>6500</v>
          </cell>
          <cell r="F70" t="str">
            <v>K6/K8廣播及監控系統定維保養合約</v>
          </cell>
          <cell r="G70" t="str">
            <v>M201210004</v>
          </cell>
          <cell r="H70">
            <v>20000</v>
          </cell>
        </row>
        <row r="71">
          <cell r="B71" t="str">
            <v>call off</v>
          </cell>
          <cell r="C71" t="str">
            <v>葉書宏</v>
          </cell>
          <cell r="D71">
            <v>37274</v>
          </cell>
          <cell r="E71">
            <v>6500</v>
          </cell>
          <cell r="H71">
            <v>780</v>
          </cell>
        </row>
        <row r="72">
          <cell r="B72" t="str">
            <v>PR</v>
          </cell>
          <cell r="C72" t="str">
            <v>施文洲</v>
          </cell>
          <cell r="D72">
            <v>37278</v>
          </cell>
          <cell r="E72">
            <v>6500</v>
          </cell>
          <cell r="F72" t="str">
            <v>速博長途電話系統申請</v>
          </cell>
          <cell r="G72" t="str">
            <v>M201280005</v>
          </cell>
          <cell r="H72">
            <v>40000</v>
          </cell>
        </row>
        <row r="73">
          <cell r="B73" t="str">
            <v>PR</v>
          </cell>
          <cell r="C73" t="str">
            <v>袁常浩</v>
          </cell>
          <cell r="D73">
            <v>37280</v>
          </cell>
          <cell r="E73">
            <v>6500</v>
          </cell>
          <cell r="F73" t="str">
            <v>DOWMR-3核子級樹</v>
          </cell>
          <cell r="G73" t="str">
            <v>M201300003</v>
          </cell>
          <cell r="H73">
            <v>144000</v>
          </cell>
        </row>
        <row r="74">
          <cell r="B74" t="str">
            <v>PR</v>
          </cell>
          <cell r="C74" t="str">
            <v>蔡啟仁</v>
          </cell>
          <cell r="D74">
            <v>37280</v>
          </cell>
          <cell r="E74">
            <v>6500</v>
          </cell>
          <cell r="F74" t="str">
            <v>飲水機水質菌數檢驗</v>
          </cell>
          <cell r="G74" t="str">
            <v>M201310003</v>
          </cell>
          <cell r="H74">
            <v>20960</v>
          </cell>
        </row>
        <row r="75">
          <cell r="B75" t="str">
            <v>PR</v>
          </cell>
          <cell r="C75" t="str">
            <v>劉啟泰</v>
          </cell>
          <cell r="D75">
            <v>37259</v>
          </cell>
          <cell r="E75">
            <v>6400</v>
          </cell>
          <cell r="F75" t="str">
            <v>電話內線卡</v>
          </cell>
          <cell r="H75">
            <v>16000</v>
          </cell>
        </row>
        <row r="76">
          <cell r="B76" t="str">
            <v>PR</v>
          </cell>
          <cell r="C76" t="str">
            <v>蔡榮輝</v>
          </cell>
          <cell r="D76">
            <v>37257</v>
          </cell>
          <cell r="E76" t="str">
            <v>650Q</v>
          </cell>
          <cell r="F76" t="str">
            <v>K3-1F～4F前段廣播工程</v>
          </cell>
          <cell r="H76">
            <v>220000</v>
          </cell>
        </row>
        <row r="77">
          <cell r="B77" t="str">
            <v>PR</v>
          </cell>
          <cell r="C77" t="str">
            <v>劉啟泰</v>
          </cell>
          <cell r="D77">
            <v>37277</v>
          </cell>
          <cell r="E77">
            <v>6101</v>
          </cell>
          <cell r="F77" t="str">
            <v>CT-4電池充電器 ＃1115</v>
          </cell>
          <cell r="G77" t="str">
            <v>M201240003</v>
          </cell>
          <cell r="H77">
            <v>2250</v>
          </cell>
        </row>
        <row r="78">
          <cell r="B78" t="str">
            <v>call off</v>
          </cell>
          <cell r="C78" t="str">
            <v xml:space="preserve">翁恒棋 </v>
          </cell>
          <cell r="D78">
            <v>37260</v>
          </cell>
          <cell r="E78">
            <v>6201</v>
          </cell>
          <cell r="F78" t="str">
            <v>RO膜.UV燈組</v>
          </cell>
          <cell r="H78">
            <v>50400</v>
          </cell>
        </row>
        <row r="79">
          <cell r="B79" t="str">
            <v>call off</v>
          </cell>
          <cell r="C79" t="str">
            <v>陳韋成</v>
          </cell>
          <cell r="D79">
            <v>37261</v>
          </cell>
          <cell r="E79">
            <v>6105</v>
          </cell>
          <cell r="H79">
            <v>910</v>
          </cell>
        </row>
        <row r="80">
          <cell r="B80" t="str">
            <v>call off</v>
          </cell>
          <cell r="C80" t="str">
            <v>蔡啟仁</v>
          </cell>
          <cell r="D80">
            <v>37273</v>
          </cell>
          <cell r="E80">
            <v>6205</v>
          </cell>
          <cell r="F80" t="str">
            <v>RO濾心組</v>
          </cell>
          <cell r="H80">
            <v>15800</v>
          </cell>
        </row>
        <row r="81">
          <cell r="B81" t="str">
            <v>call off</v>
          </cell>
          <cell r="C81" t="str">
            <v>蔡榮輝</v>
          </cell>
          <cell r="D81">
            <v>37264</v>
          </cell>
          <cell r="E81">
            <v>6000</v>
          </cell>
          <cell r="H81">
            <v>2000</v>
          </cell>
        </row>
        <row r="82">
          <cell r="B82" t="str">
            <v>PR</v>
          </cell>
          <cell r="C82" t="str">
            <v>劉啟泰</v>
          </cell>
          <cell r="D82">
            <v>37279</v>
          </cell>
          <cell r="E82">
            <v>4600</v>
          </cell>
          <cell r="F82" t="str">
            <v>CT-4電池充電器 ＃3945</v>
          </cell>
          <cell r="G82" t="str">
            <v>M202020002</v>
          </cell>
          <cell r="H82">
            <v>2250</v>
          </cell>
        </row>
        <row r="83">
          <cell r="B83" t="str">
            <v>call off</v>
          </cell>
          <cell r="C83" t="str">
            <v>蔡啟仁</v>
          </cell>
          <cell r="D83">
            <v>37273</v>
          </cell>
          <cell r="E83">
            <v>6209</v>
          </cell>
          <cell r="F83" t="str">
            <v>RO濾心組</v>
          </cell>
          <cell r="H83">
            <v>14400</v>
          </cell>
        </row>
        <row r="84">
          <cell r="B84" t="str">
            <v>call off</v>
          </cell>
          <cell r="C84" t="str">
            <v>蔡啟仁</v>
          </cell>
          <cell r="D84">
            <v>37273</v>
          </cell>
          <cell r="E84">
            <v>6109</v>
          </cell>
          <cell r="F84" t="str">
            <v>RO濾心組</v>
          </cell>
          <cell r="H84">
            <v>8800</v>
          </cell>
        </row>
        <row r="85">
          <cell r="B85" t="str">
            <v>call off</v>
          </cell>
          <cell r="C85" t="str">
            <v>翁恒棋</v>
          </cell>
          <cell r="D85">
            <v>37287</v>
          </cell>
          <cell r="E85">
            <v>6700</v>
          </cell>
          <cell r="H85">
            <v>16800</v>
          </cell>
        </row>
        <row r="86">
          <cell r="B86" t="str">
            <v>call off</v>
          </cell>
          <cell r="C86" t="str">
            <v>翁恒棋</v>
          </cell>
          <cell r="D86">
            <v>37287</v>
          </cell>
          <cell r="E86">
            <v>6103</v>
          </cell>
          <cell r="H86">
            <v>25200</v>
          </cell>
        </row>
        <row r="87">
          <cell r="B87" t="str">
            <v>PR</v>
          </cell>
          <cell r="C87" t="str">
            <v>劉啟泰</v>
          </cell>
          <cell r="D87">
            <v>37277</v>
          </cell>
          <cell r="E87">
            <v>5200</v>
          </cell>
          <cell r="F87" t="str">
            <v>電話機</v>
          </cell>
          <cell r="G87" t="str">
            <v>M201280010</v>
          </cell>
          <cell r="H87">
            <v>2500</v>
          </cell>
        </row>
        <row r="88">
          <cell r="A88" t="str">
            <v>管制值</v>
          </cell>
          <cell r="B88">
            <v>517760</v>
          </cell>
          <cell r="C88">
            <v>0</v>
          </cell>
          <cell r="D88" t="str">
            <v>小計</v>
          </cell>
          <cell r="E88">
            <v>697150</v>
          </cell>
        </row>
        <row r="89">
          <cell r="A89" t="str">
            <v>E24</v>
          </cell>
          <cell r="B89" t="str">
            <v>PR</v>
          </cell>
          <cell r="C89" t="str">
            <v>伍展逸</v>
          </cell>
          <cell r="D89">
            <v>37258</v>
          </cell>
          <cell r="E89">
            <v>6900</v>
          </cell>
          <cell r="F89" t="str">
            <v>K5-Bumping重流爐排氣伸縮管</v>
          </cell>
          <cell r="G89" t="str">
            <v>M201100007</v>
          </cell>
          <cell r="H89">
            <v>9200</v>
          </cell>
        </row>
        <row r="90">
          <cell r="B90" t="str">
            <v>PR</v>
          </cell>
          <cell r="C90" t="str">
            <v>黃士峰</v>
          </cell>
          <cell r="D90">
            <v>37257</v>
          </cell>
          <cell r="E90">
            <v>6500</v>
          </cell>
          <cell r="G90" t="str">
            <v>M201050004</v>
          </cell>
          <cell r="H90">
            <v>7200</v>
          </cell>
        </row>
        <row r="91">
          <cell r="B91" t="str">
            <v>PR</v>
          </cell>
          <cell r="C91" t="str">
            <v>蕭家豪</v>
          </cell>
          <cell r="D91">
            <v>37260</v>
          </cell>
          <cell r="E91">
            <v>6500</v>
          </cell>
          <cell r="F91" t="str">
            <v>P6-2  2＃2冷卻水塔散熱風車馬達</v>
          </cell>
          <cell r="G91" t="str">
            <v>M201100004</v>
          </cell>
          <cell r="H91">
            <v>22400</v>
          </cell>
        </row>
        <row r="92">
          <cell r="B92" t="str">
            <v>call off</v>
          </cell>
          <cell r="C92" t="str">
            <v>蔡榮輝</v>
          </cell>
          <cell r="D92">
            <v>37264</v>
          </cell>
          <cell r="E92">
            <v>6500</v>
          </cell>
          <cell r="H92">
            <v>65</v>
          </cell>
        </row>
        <row r="93">
          <cell r="B93" t="str">
            <v>PR</v>
          </cell>
          <cell r="C93" t="str">
            <v>嚴賜盛</v>
          </cell>
          <cell r="D93">
            <v>37264</v>
          </cell>
          <cell r="E93">
            <v>6500</v>
          </cell>
          <cell r="F93" t="str">
            <v>理研輔助電驛</v>
          </cell>
          <cell r="G93" t="str">
            <v>M201100009</v>
          </cell>
          <cell r="H93">
            <v>925</v>
          </cell>
        </row>
        <row r="94">
          <cell r="B94" t="str">
            <v>PR</v>
          </cell>
          <cell r="C94" t="str">
            <v>紀志忠</v>
          </cell>
          <cell r="D94">
            <v>37264</v>
          </cell>
          <cell r="E94">
            <v>6500</v>
          </cell>
          <cell r="F94" t="str">
            <v>空氣霧化噴嘴</v>
          </cell>
          <cell r="G94" t="str">
            <v>M201100008</v>
          </cell>
          <cell r="H94">
            <v>18400</v>
          </cell>
        </row>
        <row r="95">
          <cell r="B95" t="str">
            <v>PR</v>
          </cell>
          <cell r="C95" t="str">
            <v>周文豪</v>
          </cell>
          <cell r="D95">
            <v>37268</v>
          </cell>
          <cell r="E95">
            <v>6500</v>
          </cell>
          <cell r="F95" t="str">
            <v>自動排氣閥尺寸-3/4〞</v>
          </cell>
          <cell r="G95" t="str">
            <v>M201180006</v>
          </cell>
          <cell r="H95">
            <v>4020</v>
          </cell>
        </row>
        <row r="96">
          <cell r="B96" t="str">
            <v>PR</v>
          </cell>
          <cell r="C96" t="str">
            <v>張光明</v>
          </cell>
          <cell r="D96">
            <v>37271</v>
          </cell>
          <cell r="E96">
            <v>6500</v>
          </cell>
          <cell r="F96" t="str">
            <v>K5-純水機旁冷氣機修復</v>
          </cell>
          <cell r="G96" t="str">
            <v>M201180005</v>
          </cell>
          <cell r="H96">
            <v>13800</v>
          </cell>
        </row>
        <row r="97">
          <cell r="B97" t="str">
            <v>call off</v>
          </cell>
          <cell r="C97" t="str">
            <v>楊明龍</v>
          </cell>
          <cell r="D97">
            <v>37271</v>
          </cell>
          <cell r="E97">
            <v>6500</v>
          </cell>
          <cell r="F97" t="str">
            <v xml:space="preserve"> </v>
          </cell>
          <cell r="H97">
            <v>220</v>
          </cell>
        </row>
        <row r="98">
          <cell r="B98" t="str">
            <v>call off</v>
          </cell>
          <cell r="C98" t="str">
            <v>楊明龍</v>
          </cell>
          <cell r="D98">
            <v>37270</v>
          </cell>
          <cell r="E98">
            <v>6500</v>
          </cell>
          <cell r="H98">
            <v>960</v>
          </cell>
        </row>
        <row r="99">
          <cell r="B99" t="str">
            <v>call off</v>
          </cell>
          <cell r="C99" t="str">
            <v>楊明龍</v>
          </cell>
          <cell r="D99">
            <v>37273</v>
          </cell>
          <cell r="E99">
            <v>6500</v>
          </cell>
          <cell r="H99">
            <v>2400</v>
          </cell>
        </row>
        <row r="100">
          <cell r="B100" t="str">
            <v>PR</v>
          </cell>
          <cell r="C100" t="str">
            <v xml:space="preserve">陳俊男 </v>
          </cell>
          <cell r="D100">
            <v>37274</v>
          </cell>
          <cell r="E100">
            <v>6500</v>
          </cell>
          <cell r="F100" t="str">
            <v>真空幫浦、真空吸引杯</v>
          </cell>
          <cell r="G100" t="str">
            <v>M201230001</v>
          </cell>
          <cell r="H100">
            <v>14000</v>
          </cell>
        </row>
        <row r="101">
          <cell r="B101" t="str">
            <v>call off</v>
          </cell>
          <cell r="C101" t="str">
            <v>蔡慶隆</v>
          </cell>
          <cell r="D101">
            <v>37274</v>
          </cell>
          <cell r="E101">
            <v>6500</v>
          </cell>
          <cell r="H101">
            <v>8460</v>
          </cell>
        </row>
        <row r="102">
          <cell r="B102" t="str">
            <v>PR</v>
          </cell>
          <cell r="C102" t="str">
            <v>翁恒棋</v>
          </cell>
          <cell r="D102">
            <v>37273</v>
          </cell>
          <cell r="E102">
            <v>6500</v>
          </cell>
          <cell r="F102" t="str">
            <v>K1-1＃冷卻風扇馬達損壞請購（1/2HP 6P馬達）</v>
          </cell>
          <cell r="G102" t="str">
            <v>M201280011</v>
          </cell>
          <cell r="H102">
            <v>6500</v>
          </cell>
        </row>
        <row r="103">
          <cell r="B103" t="str">
            <v>PR</v>
          </cell>
          <cell r="C103" t="str">
            <v>蔡慶隆</v>
          </cell>
          <cell r="D103">
            <v>37274</v>
          </cell>
          <cell r="E103">
            <v>6500</v>
          </cell>
          <cell r="F103" t="str">
            <v>K3.K4冰水機藥洗口改善工程</v>
          </cell>
          <cell r="G103" t="str">
            <v>M201280008</v>
          </cell>
          <cell r="H103">
            <v>30000</v>
          </cell>
        </row>
        <row r="104">
          <cell r="B104" t="str">
            <v>PR</v>
          </cell>
          <cell r="C104" t="str">
            <v>黃士峰</v>
          </cell>
          <cell r="D104">
            <v>37284</v>
          </cell>
          <cell r="E104">
            <v>6500</v>
          </cell>
          <cell r="F104" t="str">
            <v>馬達軸封更換</v>
          </cell>
          <cell r="G104" t="str">
            <v>M201310002</v>
          </cell>
          <cell r="H104">
            <v>30000</v>
          </cell>
        </row>
        <row r="105">
          <cell r="B105" t="str">
            <v>PR</v>
          </cell>
          <cell r="C105" t="str">
            <v>翁恒棋</v>
          </cell>
          <cell r="D105">
            <v>37284</v>
          </cell>
          <cell r="E105">
            <v>6500</v>
          </cell>
          <cell r="F105" t="str">
            <v>600RT冷卻水塔灑水頭  K3-P6-2-2 ＃</v>
          </cell>
          <cell r="G105" t="str">
            <v>M202010001</v>
          </cell>
          <cell r="H105">
            <v>28000</v>
          </cell>
        </row>
        <row r="106">
          <cell r="B106" t="str">
            <v>PR</v>
          </cell>
          <cell r="C106" t="str">
            <v>劉啟泰</v>
          </cell>
          <cell r="D106">
            <v>37286</v>
          </cell>
          <cell r="E106">
            <v>6500</v>
          </cell>
          <cell r="F106" t="str">
            <v>濕度控制器/ H615A</v>
          </cell>
          <cell r="G106" t="str">
            <v>M202020003</v>
          </cell>
          <cell r="H106">
            <v>10925</v>
          </cell>
        </row>
        <row r="107">
          <cell r="B107" t="str">
            <v>call off</v>
          </cell>
          <cell r="C107" t="str">
            <v>翁恒棋</v>
          </cell>
          <cell r="D107">
            <v>37287</v>
          </cell>
          <cell r="E107">
            <v>6500</v>
          </cell>
          <cell r="H107">
            <v>9186</v>
          </cell>
        </row>
        <row r="108">
          <cell r="B108" t="str">
            <v>call off</v>
          </cell>
          <cell r="C108" t="str">
            <v>蔡慶隆</v>
          </cell>
          <cell r="D108">
            <v>37286</v>
          </cell>
          <cell r="E108">
            <v>6500</v>
          </cell>
          <cell r="H108">
            <v>7170</v>
          </cell>
        </row>
        <row r="109">
          <cell r="B109" t="str">
            <v>call off</v>
          </cell>
          <cell r="C109" t="str">
            <v>蔡慶隆</v>
          </cell>
          <cell r="D109">
            <v>37286</v>
          </cell>
          <cell r="E109">
            <v>6500</v>
          </cell>
          <cell r="H109">
            <v>5800</v>
          </cell>
        </row>
        <row r="110">
          <cell r="B110" t="str">
            <v>PR</v>
          </cell>
          <cell r="C110" t="str">
            <v>蔡慶隆</v>
          </cell>
          <cell r="D110">
            <v>37286</v>
          </cell>
          <cell r="E110">
            <v>6500</v>
          </cell>
          <cell r="F110" t="str">
            <v>25HP馬達避震器 UM202</v>
          </cell>
          <cell r="G110" t="str">
            <v>M202050013</v>
          </cell>
          <cell r="H110">
            <v>9240</v>
          </cell>
        </row>
        <row r="111">
          <cell r="B111" t="str">
            <v>PR</v>
          </cell>
          <cell r="C111" t="str">
            <v>戴文清</v>
          </cell>
          <cell r="D111">
            <v>37271</v>
          </cell>
          <cell r="E111" t="str">
            <v>650V</v>
          </cell>
          <cell r="F111" t="str">
            <v>逆止閥 9061</v>
          </cell>
          <cell r="G111" t="str">
            <v>M201210007</v>
          </cell>
          <cell r="H111">
            <v>1500</v>
          </cell>
        </row>
        <row r="112">
          <cell r="B112" t="str">
            <v>PR</v>
          </cell>
          <cell r="C112" t="str">
            <v>陳信男</v>
          </cell>
          <cell r="D112">
            <v>37263</v>
          </cell>
          <cell r="E112" t="str">
            <v>650V</v>
          </cell>
          <cell r="F112" t="str">
            <v>K5 Bumping冰水機感溫器及工資</v>
          </cell>
          <cell r="G112" t="str">
            <v>M201100005</v>
          </cell>
          <cell r="H112">
            <v>11700</v>
          </cell>
        </row>
        <row r="113">
          <cell r="B113" t="str">
            <v>call off</v>
          </cell>
          <cell r="C113" t="str">
            <v>陳韋成</v>
          </cell>
          <cell r="D113">
            <v>37261</v>
          </cell>
          <cell r="E113" t="str">
            <v>650V</v>
          </cell>
          <cell r="H113">
            <v>7372</v>
          </cell>
        </row>
        <row r="114">
          <cell r="B114" t="str">
            <v>PR</v>
          </cell>
          <cell r="C114" t="str">
            <v>陳坤村</v>
          </cell>
          <cell r="D114">
            <v>37280</v>
          </cell>
          <cell r="E114" t="str">
            <v>650v</v>
          </cell>
          <cell r="F114" t="str">
            <v>K5-9F空調箱SCR改善工程</v>
          </cell>
          <cell r="G114" t="str">
            <v>M201290005</v>
          </cell>
          <cell r="H114">
            <v>28400</v>
          </cell>
        </row>
        <row r="115">
          <cell r="B115" t="str">
            <v>PR</v>
          </cell>
          <cell r="C115" t="str">
            <v>陳韋成</v>
          </cell>
          <cell r="D115">
            <v>37280</v>
          </cell>
          <cell r="E115" t="str">
            <v>650v</v>
          </cell>
          <cell r="F115" t="str">
            <v>Y-Δ Relay 30sec 220v TRD-N</v>
          </cell>
          <cell r="G115" t="str">
            <v>M201290004</v>
          </cell>
          <cell r="H115">
            <v>1320</v>
          </cell>
        </row>
        <row r="116">
          <cell r="B116" t="str">
            <v>PR</v>
          </cell>
          <cell r="C116" t="str">
            <v>陳坤煌</v>
          </cell>
          <cell r="D116">
            <v>37287</v>
          </cell>
          <cell r="E116" t="str">
            <v>650V</v>
          </cell>
          <cell r="F116" t="str">
            <v>900RT 冷卻水塔（LRC）7.5HP風扇馬達損壞更換</v>
          </cell>
          <cell r="G116" t="str">
            <v>M202050009</v>
          </cell>
          <cell r="H116">
            <v>27000</v>
          </cell>
        </row>
        <row r="117">
          <cell r="B117" t="str">
            <v>PR</v>
          </cell>
          <cell r="C117" t="str">
            <v>戴文清</v>
          </cell>
          <cell r="D117">
            <v>37287</v>
          </cell>
          <cell r="E117" t="str">
            <v>650V</v>
          </cell>
          <cell r="F117" t="str">
            <v>電子式電壓錶 CSM-321AN</v>
          </cell>
          <cell r="G117" t="str">
            <v>M202050011</v>
          </cell>
          <cell r="H117">
            <v>3600</v>
          </cell>
        </row>
        <row r="118">
          <cell r="B118" t="str">
            <v>PR</v>
          </cell>
          <cell r="C118" t="str">
            <v>廖進雄</v>
          </cell>
          <cell r="D118">
            <v>37283</v>
          </cell>
          <cell r="E118" t="str">
            <v>650V</v>
          </cell>
          <cell r="F118" t="str">
            <v>K5-8F水洗塔軸承更換</v>
          </cell>
          <cell r="G118" t="str">
            <v>M201310004</v>
          </cell>
          <cell r="H118">
            <v>51656</v>
          </cell>
        </row>
        <row r="119">
          <cell r="B119" t="str">
            <v>call off</v>
          </cell>
          <cell r="C119" t="str">
            <v>陳韋成</v>
          </cell>
          <cell r="D119">
            <v>37280</v>
          </cell>
          <cell r="E119" t="str">
            <v>650V</v>
          </cell>
          <cell r="H119">
            <v>611</v>
          </cell>
        </row>
        <row r="120">
          <cell r="B120" t="str">
            <v>PR</v>
          </cell>
          <cell r="C120" t="str">
            <v>嚴賜盛</v>
          </cell>
          <cell r="D120">
            <v>37284</v>
          </cell>
          <cell r="E120" t="str">
            <v>650R</v>
          </cell>
          <cell r="F120" t="str">
            <v>200HP馬達（空壓機）線圈重新纏繞處理</v>
          </cell>
          <cell r="G120" t="str">
            <v>M201310005</v>
          </cell>
          <cell r="H120">
            <v>56000</v>
          </cell>
        </row>
        <row r="121">
          <cell r="B121" t="str">
            <v>PR</v>
          </cell>
          <cell r="C121" t="str">
            <v>陳韋成</v>
          </cell>
          <cell r="D121">
            <v>37264</v>
          </cell>
          <cell r="E121">
            <v>6102</v>
          </cell>
          <cell r="F121" t="str">
            <v>東亞安定器40W*220V</v>
          </cell>
          <cell r="H121">
            <v>18000</v>
          </cell>
        </row>
        <row r="122">
          <cell r="B122" t="str">
            <v>PR</v>
          </cell>
          <cell r="C122" t="str">
            <v>袁常浩</v>
          </cell>
          <cell r="D122">
            <v>37264</v>
          </cell>
          <cell r="E122">
            <v>6710</v>
          </cell>
          <cell r="F122" t="str">
            <v>K4洗銲針室遷至IQA管路工程</v>
          </cell>
          <cell r="H122">
            <v>20000</v>
          </cell>
        </row>
        <row r="123">
          <cell r="B123" t="str">
            <v>PR</v>
          </cell>
          <cell r="C123" t="str">
            <v>陳信男</v>
          </cell>
          <cell r="D123">
            <v>37267</v>
          </cell>
          <cell r="E123">
            <v>6105</v>
          </cell>
          <cell r="F123" t="str">
            <v>K5-5F 烤箱抽氣管路修理</v>
          </cell>
          <cell r="G123" t="str">
            <v>M201180002</v>
          </cell>
          <cell r="H123">
            <v>10750</v>
          </cell>
        </row>
        <row r="124">
          <cell r="B124" t="str">
            <v>PR</v>
          </cell>
          <cell r="C124" t="str">
            <v>黃士峰</v>
          </cell>
          <cell r="D124">
            <v>37271</v>
          </cell>
          <cell r="E124">
            <v>6900</v>
          </cell>
          <cell r="F124" t="str">
            <v>K5 Bumping舊PCW迴水流至BF儲存桶工程</v>
          </cell>
          <cell r="G124" t="str">
            <v>M201280015</v>
          </cell>
        </row>
        <row r="125">
          <cell r="B125" t="str">
            <v>PR</v>
          </cell>
          <cell r="C125" t="str">
            <v>李崇銘</v>
          </cell>
          <cell r="D125">
            <v>37278</v>
          </cell>
          <cell r="E125">
            <v>5200</v>
          </cell>
          <cell r="F125" t="str">
            <v>K6-2F-30RT箱型冷氣檢修工程</v>
          </cell>
          <cell r="G125" t="str">
            <v>M201290001</v>
          </cell>
          <cell r="H125">
            <v>35000</v>
          </cell>
        </row>
        <row r="126">
          <cell r="B126" t="str">
            <v>PR</v>
          </cell>
          <cell r="C126" t="str">
            <v>郭孟淵</v>
          </cell>
          <cell r="D126">
            <v>37279</v>
          </cell>
          <cell r="E126">
            <v>4120</v>
          </cell>
          <cell r="F126" t="str">
            <v>K1-BF廚房管路修改及抽水泵浦更換工程…..</v>
          </cell>
          <cell r="G126" t="str">
            <v>M202020004</v>
          </cell>
          <cell r="H126">
            <v>27600</v>
          </cell>
        </row>
        <row r="127">
          <cell r="B127" t="str">
            <v>call off</v>
          </cell>
          <cell r="C127" t="str">
            <v>鐘育成</v>
          </cell>
          <cell r="D127">
            <v>37285</v>
          </cell>
          <cell r="E127">
            <v>6204</v>
          </cell>
          <cell r="H127">
            <v>3100</v>
          </cell>
        </row>
        <row r="128">
          <cell r="B128" t="str">
            <v>call off</v>
          </cell>
          <cell r="C128" t="str">
            <v>蔡慶隆</v>
          </cell>
          <cell r="D128">
            <v>37281</v>
          </cell>
          <cell r="E128">
            <v>6204</v>
          </cell>
          <cell r="H128">
            <v>150</v>
          </cell>
        </row>
        <row r="129">
          <cell r="A129" t="str">
            <v>管制值</v>
          </cell>
          <cell r="B129">
            <v>579053</v>
          </cell>
          <cell r="C129">
            <v>0</v>
          </cell>
          <cell r="D129" t="str">
            <v>小計</v>
          </cell>
          <cell r="E129">
            <v>542630</v>
          </cell>
        </row>
        <row r="130">
          <cell r="A130" t="str">
            <v>E25</v>
          </cell>
          <cell r="B130" t="str">
            <v>Call off</v>
          </cell>
          <cell r="C130" t="str">
            <v>鐘育成</v>
          </cell>
          <cell r="D130">
            <v>37260</v>
          </cell>
          <cell r="E130">
            <v>6500</v>
          </cell>
          <cell r="H130">
            <v>3680</v>
          </cell>
        </row>
        <row r="131">
          <cell r="B131" t="str">
            <v>Call off</v>
          </cell>
          <cell r="C131" t="str">
            <v>翁恒棋</v>
          </cell>
          <cell r="D131">
            <v>37260</v>
          </cell>
          <cell r="E131">
            <v>6500</v>
          </cell>
          <cell r="H131">
            <v>5560</v>
          </cell>
        </row>
        <row r="132">
          <cell r="B132" t="str">
            <v>Call off</v>
          </cell>
          <cell r="C132" t="str">
            <v>紀志忠</v>
          </cell>
          <cell r="D132">
            <v>37261</v>
          </cell>
          <cell r="E132">
            <v>6500</v>
          </cell>
          <cell r="H132">
            <v>9310</v>
          </cell>
        </row>
        <row r="133">
          <cell r="B133" t="str">
            <v>Call off</v>
          </cell>
          <cell r="C133" t="str">
            <v>翁恒棋</v>
          </cell>
          <cell r="D133">
            <v>37264</v>
          </cell>
          <cell r="E133">
            <v>6500</v>
          </cell>
          <cell r="H133">
            <v>2100</v>
          </cell>
        </row>
        <row r="134">
          <cell r="B134" t="str">
            <v>PR</v>
          </cell>
          <cell r="C134" t="str">
            <v>蔡榮輝</v>
          </cell>
          <cell r="D134">
            <v>37264</v>
          </cell>
          <cell r="E134">
            <v>6500</v>
          </cell>
          <cell r="F134" t="str">
            <v>華新麗華 60m㎡*1c</v>
          </cell>
          <cell r="G134" t="str">
            <v>M201100010</v>
          </cell>
          <cell r="H134">
            <v>2010</v>
          </cell>
        </row>
        <row r="135">
          <cell r="B135" t="str">
            <v>call off</v>
          </cell>
          <cell r="C135" t="str">
            <v>翁恒棋</v>
          </cell>
          <cell r="D135">
            <v>37265</v>
          </cell>
          <cell r="E135">
            <v>6500</v>
          </cell>
          <cell r="H135">
            <v>5500</v>
          </cell>
        </row>
        <row r="136">
          <cell r="B136" t="str">
            <v>call off</v>
          </cell>
          <cell r="C136" t="str">
            <v>虞積仁</v>
          </cell>
          <cell r="D136">
            <v>37274</v>
          </cell>
          <cell r="E136">
            <v>6500</v>
          </cell>
          <cell r="F136" t="str">
            <v>濾心、濾袋</v>
          </cell>
          <cell r="H136">
            <v>99280</v>
          </cell>
        </row>
        <row r="137">
          <cell r="B137" t="str">
            <v>PR</v>
          </cell>
          <cell r="C137" t="str">
            <v>蔡慶隆</v>
          </cell>
          <cell r="D137">
            <v>37274</v>
          </cell>
          <cell r="E137">
            <v>6500</v>
          </cell>
          <cell r="F137" t="str">
            <v>除垢劑（晨倍）</v>
          </cell>
          <cell r="G137" t="str">
            <v>M201280009</v>
          </cell>
          <cell r="H137">
            <v>31800</v>
          </cell>
        </row>
        <row r="138">
          <cell r="B138" t="str">
            <v>call off</v>
          </cell>
          <cell r="C138" t="str">
            <v>虞積仁</v>
          </cell>
          <cell r="D138">
            <v>37278</v>
          </cell>
          <cell r="E138">
            <v>6500</v>
          </cell>
          <cell r="H138">
            <v>36260</v>
          </cell>
        </row>
        <row r="139">
          <cell r="B139" t="str">
            <v>PR</v>
          </cell>
          <cell r="C139" t="str">
            <v>陳信男</v>
          </cell>
          <cell r="D139">
            <v>37267</v>
          </cell>
          <cell r="E139" t="str">
            <v>650V</v>
          </cell>
          <cell r="F139" t="str">
            <v>水垢劑</v>
          </cell>
          <cell r="G139" t="str">
            <v>M201170002</v>
          </cell>
          <cell r="H139">
            <v>21200</v>
          </cell>
        </row>
        <row r="140">
          <cell r="B140" t="str">
            <v>PR</v>
          </cell>
          <cell r="C140" t="str">
            <v>戴文清</v>
          </cell>
          <cell r="D140">
            <v>37267</v>
          </cell>
          <cell r="E140" t="str">
            <v>650V</v>
          </cell>
          <cell r="F140" t="str">
            <v>油過濾器</v>
          </cell>
          <cell r="G140" t="str">
            <v>M201170003</v>
          </cell>
          <cell r="H140">
            <v>87074</v>
          </cell>
        </row>
        <row r="141">
          <cell r="B141" t="str">
            <v>PR</v>
          </cell>
          <cell r="C141" t="str">
            <v>陳進源</v>
          </cell>
          <cell r="D141">
            <v>37267</v>
          </cell>
          <cell r="E141" t="str">
            <v>650V</v>
          </cell>
          <cell r="F141" t="str">
            <v>電磁閥KIT250010-337</v>
          </cell>
          <cell r="G141" t="str">
            <v>M201170001</v>
          </cell>
          <cell r="H141">
            <v>20580</v>
          </cell>
        </row>
        <row r="142">
          <cell r="B142" t="str">
            <v>PR</v>
          </cell>
          <cell r="C142" t="str">
            <v>陳進源</v>
          </cell>
          <cell r="D142">
            <v>37272</v>
          </cell>
          <cell r="E142" t="str">
            <v>650V</v>
          </cell>
          <cell r="F142" t="str">
            <v>空氣過濾器250007-838.839</v>
          </cell>
          <cell r="G142" t="str">
            <v>M201230002</v>
          </cell>
          <cell r="H142">
            <v>289478</v>
          </cell>
        </row>
        <row r="143">
          <cell r="B143" t="str">
            <v>call off</v>
          </cell>
          <cell r="C143" t="str">
            <v>陳韋成</v>
          </cell>
          <cell r="D143">
            <v>37261</v>
          </cell>
          <cell r="E143" t="str">
            <v>650V</v>
          </cell>
          <cell r="H143">
            <v>34796</v>
          </cell>
        </row>
        <row r="144">
          <cell r="B144" t="str">
            <v>PR</v>
          </cell>
          <cell r="C144" t="str">
            <v>曾志銘</v>
          </cell>
          <cell r="D144">
            <v>37287</v>
          </cell>
          <cell r="E144" t="str">
            <v>650Q</v>
          </cell>
          <cell r="F144" t="str">
            <v>K3廠200HP空壓機E組年度保養</v>
          </cell>
          <cell r="G144" t="str">
            <v>M202050004</v>
          </cell>
          <cell r="H144">
            <v>90000</v>
          </cell>
        </row>
        <row r="145">
          <cell r="B145" t="str">
            <v>PR</v>
          </cell>
          <cell r="C145" t="str">
            <v>嚴賜盛</v>
          </cell>
          <cell r="D145">
            <v>37278</v>
          </cell>
          <cell r="E145" t="str">
            <v>650R</v>
          </cell>
          <cell r="F145" t="str">
            <v>除垢劑（晨倍）、催化劑</v>
          </cell>
          <cell r="G145" t="str">
            <v>M201280003</v>
          </cell>
          <cell r="H145">
            <v>16600</v>
          </cell>
        </row>
        <row r="146">
          <cell r="B146" t="str">
            <v>Call off</v>
          </cell>
          <cell r="C146" t="str">
            <v>紀志忠</v>
          </cell>
          <cell r="D146">
            <v>37261</v>
          </cell>
          <cell r="E146">
            <v>6008</v>
          </cell>
          <cell r="H146">
            <v>7800</v>
          </cell>
        </row>
        <row r="147">
          <cell r="B147" t="str">
            <v>Call off</v>
          </cell>
          <cell r="C147" t="str">
            <v>紀志忠</v>
          </cell>
          <cell r="D147">
            <v>37261</v>
          </cell>
          <cell r="E147">
            <v>6006</v>
          </cell>
          <cell r="H147">
            <v>11620</v>
          </cell>
        </row>
        <row r="148">
          <cell r="B148" t="str">
            <v>Call off</v>
          </cell>
          <cell r="C148" t="str">
            <v>紀志忠</v>
          </cell>
          <cell r="D148">
            <v>37261</v>
          </cell>
          <cell r="E148">
            <v>6004</v>
          </cell>
          <cell r="H148">
            <v>5690</v>
          </cell>
        </row>
        <row r="149">
          <cell r="B149" t="str">
            <v>Call off</v>
          </cell>
          <cell r="C149" t="str">
            <v>紀志忠</v>
          </cell>
          <cell r="D149">
            <v>37261</v>
          </cell>
          <cell r="E149">
            <v>6003</v>
          </cell>
          <cell r="H149">
            <v>5690</v>
          </cell>
        </row>
        <row r="150">
          <cell r="B150" t="str">
            <v>Call off</v>
          </cell>
          <cell r="C150" t="str">
            <v>紀志忠</v>
          </cell>
          <cell r="D150">
            <v>37261</v>
          </cell>
          <cell r="E150">
            <v>6001</v>
          </cell>
          <cell r="H150">
            <v>9800</v>
          </cell>
        </row>
        <row r="151">
          <cell r="B151" t="str">
            <v>PR</v>
          </cell>
          <cell r="C151" t="str">
            <v>張家祥</v>
          </cell>
          <cell r="D151">
            <v>37287</v>
          </cell>
          <cell r="E151">
            <v>6500</v>
          </cell>
          <cell r="F151" t="str">
            <v>日月光廠區發電機保養保合約（共17部：91.2.1～91.12.31</v>
          </cell>
          <cell r="H151">
            <v>31818</v>
          </cell>
        </row>
        <row r="152">
          <cell r="A152" t="str">
            <v>管制值</v>
          </cell>
          <cell r="B152">
            <v>625865</v>
          </cell>
          <cell r="C152">
            <v>0</v>
          </cell>
          <cell r="D152" t="str">
            <v>小計</v>
          </cell>
          <cell r="E152">
            <v>827646</v>
          </cell>
        </row>
        <row r="153">
          <cell r="A153" t="str">
            <v>E27</v>
          </cell>
          <cell r="B153" t="str">
            <v>Call off</v>
          </cell>
          <cell r="C153" t="str">
            <v>楊明龍</v>
          </cell>
          <cell r="D153">
            <v>37263</v>
          </cell>
          <cell r="E153">
            <v>4800</v>
          </cell>
          <cell r="H153">
            <v>4800</v>
          </cell>
        </row>
        <row r="154">
          <cell r="A154" t="str">
            <v>管制值</v>
          </cell>
          <cell r="B154">
            <v>470000</v>
          </cell>
          <cell r="C154">
            <v>0</v>
          </cell>
          <cell r="D154" t="str">
            <v>小計</v>
          </cell>
          <cell r="E154">
            <v>4800</v>
          </cell>
        </row>
        <row r="155">
          <cell r="A155" t="str">
            <v>E28</v>
          </cell>
          <cell r="B155" t="str">
            <v>PR</v>
          </cell>
          <cell r="C155" t="str">
            <v>曾志銘</v>
          </cell>
          <cell r="D155">
            <v>37257</v>
          </cell>
          <cell r="E155" t="str">
            <v>650R</v>
          </cell>
          <cell r="F155" t="str">
            <v>K3東側化糞池排放水工程</v>
          </cell>
          <cell r="H155">
            <v>165000</v>
          </cell>
        </row>
        <row r="156">
          <cell r="B156" t="str">
            <v>Call off</v>
          </cell>
          <cell r="C156" t="str">
            <v>陳怡萱</v>
          </cell>
          <cell r="D156">
            <v>37261</v>
          </cell>
          <cell r="E156">
            <v>6500</v>
          </cell>
          <cell r="F156" t="str">
            <v>COD測試劑</v>
          </cell>
          <cell r="H156">
            <v>6000</v>
          </cell>
        </row>
        <row r="157">
          <cell r="B157" t="str">
            <v>Call off</v>
          </cell>
          <cell r="C157" t="str">
            <v>陳怡萱</v>
          </cell>
          <cell r="D157">
            <v>37275</v>
          </cell>
          <cell r="E157">
            <v>6500</v>
          </cell>
          <cell r="H157">
            <v>1427</v>
          </cell>
        </row>
        <row r="158">
          <cell r="A158" t="str">
            <v>管制值</v>
          </cell>
          <cell r="B158">
            <v>39000</v>
          </cell>
          <cell r="C158">
            <v>0</v>
          </cell>
          <cell r="D158" t="str">
            <v>小計</v>
          </cell>
          <cell r="E158">
            <v>172427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>
        <row r="1">
          <cell r="A1" t="str">
            <v xml:space="preserve">         嘉銘工程有限公司  統一編號:22124835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IS Data (2001)"/>
      <sheetName val="PubVariable"/>
      <sheetName val="Ex. Rate"/>
      <sheetName val="wall"/>
      <sheetName val="전기일위대가"/>
      <sheetName val="내역서"/>
      <sheetName val="대비"/>
      <sheetName val="1995년 섹터별 매출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EXTENSION현황"/>
      <sheetName val="FOB발"/>
      <sheetName val="IS Data (2001)"/>
      <sheetName val="95TOTREV"/>
      <sheetName val="3ND 64M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휴현황"/>
      <sheetName val="유휴자산현황"/>
      <sheetName val="조립생산부"/>
      <sheetName val="PKG시험부"/>
      <sheetName val="FAB1(생산부)"/>
      <sheetName val="시험생산부(FAB1)"/>
      <sheetName val="생산기술1부(GAS CABINET)"/>
      <sheetName val="생산기술1부(계측기)"/>
      <sheetName val="FAB"/>
      <sheetName val="Sheet1"/>
      <sheetName val="Sheet2"/>
      <sheetName val="Sheet3"/>
      <sheetName val="199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1998"/>
      <sheetName val="BreakDowns_USD"/>
      <sheetName val="DRY-CON"/>
      <sheetName val="マスター"/>
      <sheetName val="F4-F7"/>
      <sheetName val="정부노임단가"/>
      <sheetName val="공사비내역서"/>
      <sheetName val="도급양식"/>
      <sheetName val="공종별 집계"/>
      <sheetName val="BSD (2)"/>
      <sheetName val="Header"/>
      <sheetName val="sapactivexlhiddenshe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時程表"/>
      <sheetName val="組織人員設定"/>
      <sheetName val="假日補班設定"/>
      <sheetName val="Setup"/>
      <sheetName val="History"/>
    </sheetNames>
    <sheetDataSet>
      <sheetData sheetId="0"/>
      <sheetData sheetId="1"/>
      <sheetData sheetId="2"/>
      <sheetData sheetId="3">
        <row r="4">
          <cell r="B4" t="str">
            <v>繁體中文</v>
          </cell>
        </row>
      </sheetData>
      <sheetData sheetId="4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T"/>
      <sheetName val="Zリスク表"/>
    </sheetNames>
    <sheetDataSet>
      <sheetData sheetId="0"/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時程表"/>
      <sheetName val="組織人員設定"/>
      <sheetName val="假日補班設定"/>
      <sheetName val="Setup"/>
      <sheetName val="History"/>
    </sheetNames>
    <sheetDataSet>
      <sheetData sheetId="0"/>
      <sheetData sheetId="1">
        <row r="4">
          <cell r="C4" t="str">
            <v>專案部</v>
          </cell>
          <cell r="D4" t="str">
            <v>工程部</v>
          </cell>
          <cell r="E4" t="str">
            <v>繪圖組</v>
          </cell>
          <cell r="F4" t="str">
            <v>協力廠商</v>
          </cell>
          <cell r="G4" t="str">
            <v>技師</v>
          </cell>
        </row>
        <row r="5">
          <cell r="C5" t="str">
            <v>陳玥彣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設定"/>
      <sheetName val="가동비율"/>
      <sheetName val="F5"/>
      <sheetName val="入力シート"/>
      <sheetName val="DATA2"/>
      <sheetName val="Y2KPR"/>
      <sheetName val="データ"/>
      <sheetName val="8)중점관리장비현황"/>
      <sheetName val="95TOTREV"/>
      <sheetName val="지수"/>
      <sheetName val="Sheet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95TOTREV"/>
      <sheetName val="FOB발"/>
      <sheetName val="入力シート"/>
      <sheetName val="DATA2"/>
      <sheetName val="통계자료"/>
      <sheetName val="중장S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6F8"/>
      <sheetName val="參數設定"/>
      <sheetName val="参照"/>
      <sheetName val="할증"/>
      <sheetName val="단가표"/>
      <sheetName val="노무비단가"/>
      <sheetName val="일위대가목차"/>
      <sheetName val="BID"/>
      <sheetName val="H.P견적(참조)"/>
      <sheetName val="실적분석"/>
      <sheetName val="그림"/>
      <sheetName val="기상도"/>
      <sheetName val="일위_파일"/>
      <sheetName val="Ekog10"/>
      <sheetName val="상품보조수불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덕전리"/>
      <sheetName val="조서및연장산출"/>
      <sheetName val="배수공수량"/>
      <sheetName val="암거공수량집계"/>
      <sheetName val="횡배수공집계"/>
      <sheetName val="수로관및집수정수량집계"/>
      <sheetName val="횡배수토공(P.E,BOX) "/>
      <sheetName val="수로관및집수정"/>
      <sheetName val="지수벽 및 파라피트"/>
      <sheetName val="암거수량"/>
      <sheetName val="암거날개벽수량"/>
      <sheetName val="암거날개벽토공"/>
      <sheetName val="횡배수관날개벽"/>
      <sheetName val="횡배수관날개벽잔토 "/>
      <sheetName val="횡배수관날개벽수량표"/>
      <sheetName val="횡배수관날개벽잔토산식치수표"/>
      <sheetName val="토적계산서"/>
      <sheetName val="포장자재수량집계"/>
      <sheetName val="콘크리트포장"/>
      <sheetName val="토사측구"/>
      <sheetName val="표 지 "/>
      <sheetName val="자재집계"/>
      <sheetName val="토공집계"/>
      <sheetName val="총괄자재집계"/>
      <sheetName val="암거날개벽수량(1.5M)"/>
      <sheetName val="암거날개벽토공(1.5)"/>
      <sheetName val="토공집계(소계)"/>
      <sheetName val="관급자재대"/>
      <sheetName val="면벽수량"/>
      <sheetName val="흄관(보호)(1연)"/>
      <sheetName val="흄관 보호토공(1연)"/>
      <sheetName val="설계서"/>
      <sheetName val="설계서(동안동)"/>
      <sheetName val="설계공통자료입력"/>
      <sheetName val="정산변경사유"/>
      <sheetName val="기초자료입력"/>
      <sheetName val="내역서"/>
      <sheetName val="경비"/>
      <sheetName val="부총"/>
      <sheetName val="맨홀조서"/>
      <sheetName val="도급분"/>
      <sheetName val="난간벽단위"/>
      <sheetName val="설명서"/>
      <sheetName val="배수설비"/>
      <sheetName val="대창(장성)"/>
      <sheetName val="송전재료비"/>
      <sheetName val="신고조서"/>
      <sheetName val="토목수량(공정)"/>
      <sheetName val="증감대비"/>
      <sheetName val="공사비예산서(토목분)"/>
      <sheetName val="설계명세"/>
      <sheetName val="원가서"/>
      <sheetName val="96보완계획7.12"/>
      <sheetName val="조명시설"/>
      <sheetName val="날개벽수량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4생산"/>
      <sheetName val="8)중점관리장비현황"/>
      <sheetName val="수불1Q"/>
      <sheetName val="수불2Q"/>
      <sheetName val="수불3Q"/>
      <sheetName val="수불4Q"/>
      <sheetName val="FAB별"/>
      <sheetName val="DATA"/>
      <sheetName val="PKG"/>
      <sheetName val="FAB생산계획4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설계내역서"/>
      <sheetName val="설계명세서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>
    <tabColor theme="1"/>
  </sheetPr>
  <dimension ref="A1:T20"/>
  <sheetViews>
    <sheetView workbookViewId="0">
      <selection activeCell="B34" sqref="B34"/>
    </sheetView>
  </sheetViews>
  <sheetFormatPr defaultRowHeight="16.2"/>
  <cols>
    <col min="1" max="1" width="33.296875" style="52" bestFit="1" customWidth="1"/>
    <col min="2" max="2" width="13.69921875" style="52" bestFit="1" customWidth="1"/>
    <col min="3" max="3" width="8.796875" style="50"/>
    <col min="4" max="4" width="27.796875" style="52" bestFit="1" customWidth="1"/>
    <col min="5" max="5" width="12.09765625" style="52" bestFit="1" customWidth="1"/>
    <col min="6" max="6" width="8.796875" style="50"/>
    <col min="7" max="7" width="27.796875" style="52" bestFit="1" customWidth="1"/>
    <col min="8" max="8" width="12.09765625" style="52" bestFit="1" customWidth="1"/>
    <col min="9" max="9" width="8.796875" style="50"/>
    <col min="10" max="10" width="27.796875" style="52" bestFit="1" customWidth="1"/>
    <col min="11" max="11" width="12.09765625" style="52" bestFit="1" customWidth="1"/>
    <col min="12" max="12" width="8.796875" style="50"/>
    <col min="13" max="13" width="27.796875" style="52" bestFit="1" customWidth="1"/>
    <col min="14" max="14" width="12.09765625" style="52" bestFit="1" customWidth="1"/>
    <col min="15" max="15" width="8.796875" style="50"/>
    <col min="16" max="16" width="27.796875" style="52" bestFit="1" customWidth="1"/>
    <col min="17" max="17" width="12.09765625" style="52" bestFit="1" customWidth="1"/>
    <col min="18" max="18" width="8.796875" style="50"/>
    <col min="19" max="19" width="27.796875" style="52" bestFit="1" customWidth="1"/>
    <col min="20" max="20" width="12.09765625" style="52" bestFit="1" customWidth="1"/>
    <col min="21" max="16384" width="8.796875" style="50"/>
  </cols>
  <sheetData>
    <row r="1" spans="1:20">
      <c r="A1" s="48" t="s">
        <v>28</v>
      </c>
      <c r="B1" s="49" t="s">
        <v>29</v>
      </c>
      <c r="D1" s="53" t="s">
        <v>41</v>
      </c>
      <c r="E1" s="54" t="s">
        <v>32</v>
      </c>
      <c r="G1" s="53" t="s">
        <v>42</v>
      </c>
      <c r="H1" s="54" t="s">
        <v>32</v>
      </c>
      <c r="J1" s="48" t="s">
        <v>57</v>
      </c>
      <c r="K1" s="49" t="s">
        <v>32</v>
      </c>
      <c r="M1" s="48" t="s">
        <v>58</v>
      </c>
      <c r="N1" s="49" t="s">
        <v>32</v>
      </c>
      <c r="P1" s="53" t="s">
        <v>104</v>
      </c>
      <c r="Q1" s="54" t="s">
        <v>32</v>
      </c>
      <c r="S1" s="53" t="s">
        <v>105</v>
      </c>
      <c r="T1" s="54" t="s">
        <v>32</v>
      </c>
    </row>
    <row r="2" spans="1:20">
      <c r="A2" s="55" t="s">
        <v>31</v>
      </c>
      <c r="B2" s="52" t="s">
        <v>30</v>
      </c>
      <c r="D2" s="56" t="s">
        <v>62</v>
      </c>
      <c r="E2" s="51" t="s">
        <v>33</v>
      </c>
      <c r="G2" s="56" t="s">
        <v>44</v>
      </c>
      <c r="H2" s="51" t="s">
        <v>43</v>
      </c>
      <c r="J2" s="56" t="s">
        <v>77</v>
      </c>
      <c r="K2" s="51" t="s">
        <v>59</v>
      </c>
      <c r="M2" s="56" t="s">
        <v>44</v>
      </c>
      <c r="N2" s="51" t="s">
        <v>86</v>
      </c>
      <c r="P2" s="56" t="s">
        <v>77</v>
      </c>
      <c r="Q2" s="51" t="s">
        <v>106</v>
      </c>
      <c r="S2" s="56" t="s">
        <v>44</v>
      </c>
      <c r="T2" s="51" t="s">
        <v>118</v>
      </c>
    </row>
    <row r="3" spans="1:20">
      <c r="A3" s="55" t="s">
        <v>125</v>
      </c>
      <c r="B3" s="52" t="s">
        <v>129</v>
      </c>
      <c r="D3" s="56" t="s">
        <v>63</v>
      </c>
      <c r="E3" s="52" t="s">
        <v>34</v>
      </c>
      <c r="G3" s="56" t="s">
        <v>45</v>
      </c>
      <c r="H3" s="52" t="s">
        <v>50</v>
      </c>
      <c r="J3" s="56" t="s">
        <v>78</v>
      </c>
      <c r="K3" s="52" t="s">
        <v>60</v>
      </c>
      <c r="M3" s="56" t="s">
        <v>45</v>
      </c>
      <c r="N3" s="52" t="s">
        <v>87</v>
      </c>
      <c r="P3" s="56" t="s">
        <v>78</v>
      </c>
      <c r="Q3" s="52" t="s">
        <v>107</v>
      </c>
      <c r="S3" s="56" t="s">
        <v>45</v>
      </c>
      <c r="T3" s="52" t="s">
        <v>117</v>
      </c>
    </row>
    <row r="4" spans="1:20">
      <c r="A4" s="55" t="s">
        <v>126</v>
      </c>
      <c r="B4" s="52" t="s">
        <v>40</v>
      </c>
      <c r="D4" s="56" t="s">
        <v>64</v>
      </c>
      <c r="E4" s="52" t="s">
        <v>35</v>
      </c>
      <c r="G4" s="56" t="s">
        <v>46</v>
      </c>
      <c r="H4" s="52" t="s">
        <v>51</v>
      </c>
      <c r="J4" s="56" t="s">
        <v>79</v>
      </c>
      <c r="K4" s="52" t="s">
        <v>61</v>
      </c>
      <c r="M4" s="56" t="s">
        <v>46</v>
      </c>
      <c r="N4" s="52" t="s">
        <v>88</v>
      </c>
      <c r="P4" s="56" t="s">
        <v>108</v>
      </c>
      <c r="Q4" s="52" t="s">
        <v>109</v>
      </c>
      <c r="S4" s="56" t="s">
        <v>46</v>
      </c>
      <c r="T4" s="52" t="s">
        <v>116</v>
      </c>
    </row>
    <row r="5" spans="1:20">
      <c r="A5" s="55" t="s">
        <v>127</v>
      </c>
      <c r="B5" s="52" t="s">
        <v>128</v>
      </c>
      <c r="D5" s="56" t="s">
        <v>65</v>
      </c>
      <c r="E5" s="52" t="s">
        <v>36</v>
      </c>
      <c r="G5" s="56" t="s">
        <v>47</v>
      </c>
      <c r="H5" s="52" t="s">
        <v>52</v>
      </c>
      <c r="J5" s="56" t="s">
        <v>80</v>
      </c>
      <c r="K5" s="52" t="s">
        <v>81</v>
      </c>
      <c r="M5" s="56" t="s">
        <v>47</v>
      </c>
      <c r="N5" s="52" t="s">
        <v>89</v>
      </c>
      <c r="P5" s="56" t="s">
        <v>80</v>
      </c>
      <c r="Q5" s="52" t="s">
        <v>110</v>
      </c>
      <c r="S5" s="56" t="s">
        <v>47</v>
      </c>
      <c r="T5" s="52" t="s">
        <v>115</v>
      </c>
    </row>
    <row r="6" spans="1:20">
      <c r="D6" s="56" t="s">
        <v>66</v>
      </c>
      <c r="E6" s="52" t="s">
        <v>37</v>
      </c>
      <c r="G6" s="56" t="s">
        <v>48</v>
      </c>
      <c r="H6" s="52" t="s">
        <v>53</v>
      </c>
      <c r="J6" s="56" t="s">
        <v>82</v>
      </c>
      <c r="K6" s="52" t="s">
        <v>83</v>
      </c>
      <c r="M6" s="56" t="s">
        <v>48</v>
      </c>
      <c r="N6" s="52" t="s">
        <v>90</v>
      </c>
      <c r="P6" s="56" t="s">
        <v>82</v>
      </c>
      <c r="Q6" s="52" t="s">
        <v>111</v>
      </c>
      <c r="S6" s="56" t="s">
        <v>48</v>
      </c>
      <c r="T6" s="52" t="s">
        <v>114</v>
      </c>
    </row>
    <row r="7" spans="1:20">
      <c r="D7" s="56" t="s">
        <v>67</v>
      </c>
      <c r="E7" s="51" t="s">
        <v>38</v>
      </c>
      <c r="G7" s="56" t="s">
        <v>49</v>
      </c>
      <c r="H7" s="51" t="s">
        <v>54</v>
      </c>
      <c r="J7" s="56" t="s">
        <v>84</v>
      </c>
      <c r="K7" s="51" t="s">
        <v>85</v>
      </c>
      <c r="M7" s="56" t="s">
        <v>49</v>
      </c>
      <c r="N7" s="51" t="s">
        <v>91</v>
      </c>
      <c r="P7" s="56" t="s">
        <v>84</v>
      </c>
      <c r="Q7" s="51" t="s">
        <v>112</v>
      </c>
      <c r="S7" s="56" t="s">
        <v>49</v>
      </c>
      <c r="T7" s="51" t="s">
        <v>113</v>
      </c>
    </row>
    <row r="8" spans="1:20">
      <c r="D8" s="56" t="s">
        <v>68</v>
      </c>
      <c r="E8" s="51" t="s">
        <v>39</v>
      </c>
      <c r="G8" s="56" t="s">
        <v>130</v>
      </c>
      <c r="H8" s="51"/>
      <c r="J8" s="51"/>
      <c r="K8" s="51"/>
      <c r="M8" s="56" t="s">
        <v>130</v>
      </c>
      <c r="N8" s="51"/>
      <c r="P8" s="57"/>
      <c r="Q8" s="51"/>
      <c r="S8" s="56" t="s">
        <v>130</v>
      </c>
      <c r="T8" s="51"/>
    </row>
    <row r="9" spans="1:20">
      <c r="G9" s="56" t="s">
        <v>130</v>
      </c>
      <c r="M9" s="56" t="s">
        <v>130</v>
      </c>
      <c r="S9" s="56" t="s">
        <v>130</v>
      </c>
    </row>
    <row r="10" spans="1:20">
      <c r="G10" s="55" t="s">
        <v>69</v>
      </c>
      <c r="H10" s="52" t="s">
        <v>55</v>
      </c>
      <c r="M10" s="55" t="s">
        <v>92</v>
      </c>
      <c r="N10" s="52" t="s">
        <v>94</v>
      </c>
      <c r="S10" s="55" t="s">
        <v>92</v>
      </c>
      <c r="T10" s="52" t="s">
        <v>119</v>
      </c>
    </row>
    <row r="11" spans="1:20">
      <c r="G11" s="55" t="s">
        <v>70</v>
      </c>
      <c r="H11" s="52" t="s">
        <v>56</v>
      </c>
      <c r="M11" s="55" t="s">
        <v>93</v>
      </c>
      <c r="N11" s="52" t="s">
        <v>95</v>
      </c>
      <c r="S11" s="55" t="s">
        <v>93</v>
      </c>
      <c r="T11" s="52" t="s">
        <v>121</v>
      </c>
    </row>
    <row r="12" spans="1:20">
      <c r="G12" s="56" t="s">
        <v>130</v>
      </c>
      <c r="M12" s="56" t="s">
        <v>130</v>
      </c>
      <c r="S12" s="56" t="s">
        <v>130</v>
      </c>
    </row>
    <row r="13" spans="1:20">
      <c r="G13" s="55" t="s">
        <v>71</v>
      </c>
      <c r="H13" s="52" t="s">
        <v>55</v>
      </c>
      <c r="M13" s="55" t="s">
        <v>96</v>
      </c>
      <c r="N13" s="52" t="s">
        <v>98</v>
      </c>
      <c r="S13" s="55" t="s">
        <v>96</v>
      </c>
      <c r="T13" s="52" t="s">
        <v>120</v>
      </c>
    </row>
    <row r="14" spans="1:20">
      <c r="G14" s="55" t="s">
        <v>72</v>
      </c>
      <c r="H14" s="52" t="s">
        <v>56</v>
      </c>
      <c r="M14" s="55" t="s">
        <v>97</v>
      </c>
      <c r="N14" s="52" t="s">
        <v>99</v>
      </c>
      <c r="S14" s="55" t="s">
        <v>97</v>
      </c>
      <c r="T14" s="52" t="s">
        <v>122</v>
      </c>
    </row>
    <row r="15" spans="1:20">
      <c r="G15" s="56" t="s">
        <v>130</v>
      </c>
      <c r="M15" s="56" t="s">
        <v>130</v>
      </c>
      <c r="S15" s="56" t="s">
        <v>130</v>
      </c>
    </row>
    <row r="16" spans="1:20">
      <c r="G16" s="55" t="s">
        <v>73</v>
      </c>
      <c r="H16" s="52" t="s">
        <v>55</v>
      </c>
      <c r="M16" s="55" t="s">
        <v>100</v>
      </c>
      <c r="N16" s="52" t="s">
        <v>102</v>
      </c>
      <c r="S16" s="55" t="s">
        <v>100</v>
      </c>
      <c r="T16" s="52" t="s">
        <v>123</v>
      </c>
    </row>
    <row r="17" spans="7:20">
      <c r="G17" s="55" t="s">
        <v>74</v>
      </c>
      <c r="H17" s="52" t="s">
        <v>56</v>
      </c>
      <c r="M17" s="55" t="s">
        <v>101</v>
      </c>
      <c r="N17" s="52" t="s">
        <v>103</v>
      </c>
      <c r="S17" s="55" t="s">
        <v>101</v>
      </c>
      <c r="T17" s="52" t="s">
        <v>124</v>
      </c>
    </row>
    <row r="18" spans="7:20">
      <c r="G18" s="56" t="s">
        <v>130</v>
      </c>
    </row>
    <row r="19" spans="7:20">
      <c r="G19" s="55" t="s">
        <v>75</v>
      </c>
      <c r="H19" s="52" t="s">
        <v>55</v>
      </c>
    </row>
    <row r="20" spans="7:20">
      <c r="G20" s="55" t="s">
        <v>76</v>
      </c>
      <c r="H20" s="52" t="s">
        <v>56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tabSelected="1" workbookViewId="0">
      <selection activeCell="E9" sqref="E9"/>
    </sheetView>
  </sheetViews>
  <sheetFormatPr defaultRowHeight="15.6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開啟form">
                <anchor moveWithCells="1" sizeWithCells="1">
                  <from>
                    <xdr:col>1</xdr:col>
                    <xdr:colOff>22860</xdr:colOff>
                    <xdr:row>1</xdr:row>
                    <xdr:rowOff>144780</xdr:rowOff>
                  </from>
                  <to>
                    <xdr:col>3</xdr:col>
                    <xdr:colOff>137160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0" tint="-0.249977111117893"/>
  </sheetPr>
  <dimension ref="A1:L22"/>
  <sheetViews>
    <sheetView workbookViewId="0">
      <selection activeCell="H4" sqref="H4"/>
    </sheetView>
  </sheetViews>
  <sheetFormatPr defaultRowHeight="15.6"/>
  <cols>
    <col min="1" max="2" width="5.5" style="19" customWidth="1"/>
    <col min="3" max="3" width="8.796875" style="19"/>
    <col min="4" max="4" width="9.19921875" style="19" bestFit="1" customWidth="1"/>
    <col min="5" max="5" width="17.3984375" style="23" bestFit="1" customWidth="1"/>
    <col min="6" max="7" width="12.3984375" style="23" bestFit="1" customWidth="1"/>
    <col min="8" max="8" width="9.796875" style="23" bestFit="1" customWidth="1"/>
    <col min="9" max="9" width="10.8984375" style="23" bestFit="1" customWidth="1"/>
    <col min="10" max="10" width="2.8984375" style="20" customWidth="1"/>
    <col min="11" max="12" width="18.69921875" style="20" customWidth="1"/>
    <col min="13" max="13" width="3.19921875" style="20" customWidth="1"/>
    <col min="14" max="14" width="18.796875" style="20" customWidth="1"/>
    <col min="15" max="16384" width="8.796875" style="20"/>
  </cols>
  <sheetData>
    <row r="1" spans="1:12" s="29" customFormat="1" ht="16.2">
      <c r="A1" s="27"/>
      <c r="B1" s="28"/>
      <c r="E1" s="1"/>
      <c r="F1" s="1"/>
      <c r="G1" s="1"/>
      <c r="H1" s="1"/>
      <c r="I1" s="1"/>
      <c r="K1" s="28" t="s">
        <v>14</v>
      </c>
    </row>
    <row r="2" spans="1:12" s="29" customFormat="1">
      <c r="E2" s="1"/>
      <c r="F2" s="1"/>
      <c r="G2" s="1"/>
      <c r="H2" s="1"/>
      <c r="I2" s="1"/>
    </row>
    <row r="3" spans="1:12" s="40" customFormat="1" ht="16.2">
      <c r="A3" s="2" t="s">
        <v>12</v>
      </c>
      <c r="B3" s="2" t="s">
        <v>13</v>
      </c>
      <c r="C3" s="2" t="s">
        <v>0</v>
      </c>
      <c r="D3" s="2" t="s">
        <v>1</v>
      </c>
      <c r="E3" s="2" t="s">
        <v>2</v>
      </c>
      <c r="F3" s="2" t="s">
        <v>24</v>
      </c>
      <c r="G3" s="2" t="s">
        <v>25</v>
      </c>
      <c r="H3" s="2" t="s">
        <v>8</v>
      </c>
      <c r="I3" s="2" t="s">
        <v>9</v>
      </c>
      <c r="J3" s="39"/>
      <c r="K3" s="34" t="s">
        <v>26</v>
      </c>
      <c r="L3" s="34" t="s">
        <v>6</v>
      </c>
    </row>
    <row r="4" spans="1:12">
      <c r="A4" s="21"/>
      <c r="B4" s="21"/>
      <c r="C4" s="21"/>
      <c r="D4" s="21" t="e">
        <f>VLOOKUP(C4,#REF!,3,FALSE)</f>
        <v>#REF!</v>
      </c>
      <c r="E4" s="6" t="e">
        <f>VLOOKUP(C4,#REF!,9,FALSE)</f>
        <v>#REF!</v>
      </c>
      <c r="F4" s="7" t="e">
        <f>ROUND(I4/K4*E4,0)</f>
        <v>#REF!</v>
      </c>
      <c r="G4" s="7" t="e">
        <f>ROUND(I4/K4*L4,0)</f>
        <v>#REF!</v>
      </c>
      <c r="H4" s="6" t="e">
        <f>SUMIFS(#REF!,#REF!,C4,#REF!,A4,#REF!,B4)</f>
        <v>#REF!</v>
      </c>
      <c r="I4" s="6" t="e">
        <f>SUMIFS(#REF!,#REF!,C4,#REF!,A4,#REF!,B4)</f>
        <v>#REF!</v>
      </c>
      <c r="J4" s="3"/>
      <c r="K4" s="4" t="e">
        <f>VLOOKUP(C4,#REF!,12,FALSE)</f>
        <v>#REF!</v>
      </c>
      <c r="L4" s="4" t="e">
        <f>VLOOKUP(C4,#REF!,13,FALSE)</f>
        <v>#REF!</v>
      </c>
    </row>
    <row r="5" spans="1:12">
      <c r="A5" s="21"/>
      <c r="B5" s="21"/>
      <c r="C5" s="21"/>
      <c r="D5" s="21"/>
      <c r="E5" s="6"/>
      <c r="F5" s="7"/>
      <c r="G5" s="7"/>
      <c r="H5" s="6"/>
      <c r="I5" s="6"/>
      <c r="J5" s="3"/>
      <c r="K5" s="4"/>
      <c r="L5" s="4"/>
    </row>
    <row r="6" spans="1:12">
      <c r="A6" s="21"/>
      <c r="B6" s="21"/>
      <c r="C6" s="21"/>
      <c r="D6" s="21"/>
      <c r="E6" s="6"/>
      <c r="F6" s="7"/>
      <c r="G6" s="7"/>
      <c r="H6" s="6"/>
      <c r="I6" s="6"/>
      <c r="J6" s="3"/>
      <c r="K6" s="4"/>
      <c r="L6" s="4"/>
    </row>
    <row r="7" spans="1:12">
      <c r="A7" s="21"/>
      <c r="B7" s="21"/>
      <c r="C7" s="21"/>
      <c r="D7" s="21"/>
      <c r="E7" s="6"/>
      <c r="F7" s="7"/>
      <c r="G7" s="7"/>
      <c r="H7" s="6"/>
      <c r="I7" s="6"/>
      <c r="K7" s="4"/>
      <c r="L7" s="4"/>
    </row>
    <row r="8" spans="1:12">
      <c r="A8" s="21"/>
      <c r="B8" s="21"/>
      <c r="C8" s="21"/>
      <c r="D8" s="21"/>
      <c r="E8" s="6"/>
      <c r="F8" s="7"/>
      <c r="G8" s="7"/>
      <c r="H8" s="6"/>
      <c r="I8" s="6"/>
      <c r="K8" s="4"/>
      <c r="L8" s="4"/>
    </row>
    <row r="9" spans="1:12">
      <c r="A9" s="21"/>
      <c r="B9" s="21"/>
      <c r="C9" s="21"/>
      <c r="D9" s="21"/>
      <c r="E9" s="6"/>
      <c r="F9" s="7"/>
      <c r="G9" s="7"/>
      <c r="H9" s="6"/>
      <c r="I9" s="6"/>
      <c r="K9" s="4"/>
      <c r="L9" s="4"/>
    </row>
    <row r="10" spans="1:12">
      <c r="A10" s="21"/>
      <c r="B10" s="21"/>
      <c r="C10" s="21"/>
      <c r="D10" s="21"/>
      <c r="E10" s="6"/>
      <c r="F10" s="7"/>
      <c r="G10" s="7"/>
      <c r="H10" s="6"/>
      <c r="I10" s="6"/>
      <c r="K10" s="4"/>
      <c r="L10" s="4"/>
    </row>
    <row r="11" spans="1:12">
      <c r="A11" s="21"/>
      <c r="B11" s="21"/>
      <c r="C11" s="21"/>
      <c r="D11" s="21"/>
      <c r="E11" s="6"/>
      <c r="F11" s="7"/>
      <c r="G11" s="7"/>
      <c r="H11" s="6"/>
      <c r="I11" s="6"/>
      <c r="K11" s="4"/>
      <c r="L11" s="4"/>
    </row>
    <row r="12" spans="1:12">
      <c r="A12" s="21"/>
      <c r="B12" s="21"/>
      <c r="C12" s="21"/>
      <c r="D12" s="21"/>
      <c r="E12" s="6"/>
      <c r="F12" s="7"/>
      <c r="G12" s="7"/>
      <c r="H12" s="6"/>
      <c r="I12" s="6"/>
      <c r="K12" s="4"/>
      <c r="L12" s="4"/>
    </row>
    <row r="13" spans="1:12">
      <c r="A13" s="21"/>
      <c r="B13" s="21"/>
      <c r="F13" s="24"/>
      <c r="G13" s="24"/>
    </row>
    <row r="14" spans="1:12">
      <c r="A14" s="21"/>
      <c r="B14" s="21"/>
      <c r="F14" s="24"/>
      <c r="G14" s="24"/>
    </row>
    <row r="15" spans="1:12">
      <c r="A15" s="21"/>
      <c r="B15" s="21"/>
      <c r="F15" s="24"/>
      <c r="G15" s="24"/>
    </row>
    <row r="16" spans="1:12">
      <c r="A16" s="21"/>
      <c r="B16" s="21"/>
      <c r="F16" s="24"/>
      <c r="G16" s="24"/>
    </row>
    <row r="17" spans="1:9" s="5" customFormat="1">
      <c r="A17" s="21"/>
      <c r="B17" s="21"/>
      <c r="C17" s="19"/>
      <c r="D17" s="19"/>
      <c r="E17" s="23"/>
      <c r="F17" s="24"/>
      <c r="G17" s="24"/>
      <c r="H17" s="23"/>
      <c r="I17" s="23"/>
    </row>
    <row r="18" spans="1:9" s="5" customFormat="1">
      <c r="A18" s="21"/>
      <c r="B18" s="21"/>
      <c r="C18" s="19"/>
      <c r="D18" s="19"/>
      <c r="E18" s="23"/>
      <c r="F18" s="24"/>
      <c r="G18" s="24"/>
      <c r="H18" s="23"/>
      <c r="I18" s="23"/>
    </row>
    <row r="19" spans="1:9" s="5" customFormat="1">
      <c r="A19" s="19"/>
      <c r="B19" s="19"/>
      <c r="C19" s="19"/>
      <c r="D19" s="19"/>
      <c r="E19" s="23"/>
      <c r="F19" s="24"/>
      <c r="G19" s="24"/>
      <c r="H19" s="23"/>
      <c r="I19" s="23"/>
    </row>
    <row r="20" spans="1:9" s="5" customFormat="1">
      <c r="A20" s="19"/>
      <c r="B20" s="19"/>
      <c r="C20" s="19"/>
      <c r="D20" s="19"/>
      <c r="E20" s="23"/>
      <c r="F20" s="24"/>
      <c r="G20" s="24"/>
      <c r="H20" s="23"/>
      <c r="I20" s="23"/>
    </row>
    <row r="21" spans="1:9" s="5" customFormat="1" ht="16.2">
      <c r="A21" s="19"/>
      <c r="B21" s="19"/>
      <c r="C21" s="19"/>
      <c r="D21" s="19"/>
      <c r="E21" s="25"/>
      <c r="F21" s="26"/>
      <c r="G21" s="24"/>
      <c r="H21" s="23"/>
      <c r="I21" s="23"/>
    </row>
    <row r="22" spans="1:9" s="5" customFormat="1" ht="16.2">
      <c r="A22" s="19"/>
      <c r="B22" s="19"/>
      <c r="C22" s="19"/>
      <c r="D22" s="19"/>
      <c r="E22" s="25"/>
      <c r="F22" s="7"/>
      <c r="G22" s="24"/>
      <c r="H22" s="23"/>
      <c r="I22" s="23"/>
    </row>
  </sheetData>
  <autoFilter ref="A3:L3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0" tint="-0.249977111117893"/>
  </sheetPr>
  <dimension ref="A1:AB15"/>
  <sheetViews>
    <sheetView workbookViewId="0">
      <pane xSplit="1" ySplit="3" topLeftCell="S4" activePane="bottomRight" state="frozen"/>
      <selection activeCell="F4" sqref="F4"/>
      <selection pane="topRight" activeCell="F4" sqref="F4"/>
      <selection pane="bottomLeft" activeCell="F4" sqref="F4"/>
      <selection pane="bottomRight" activeCell="G4" sqref="G4"/>
    </sheetView>
  </sheetViews>
  <sheetFormatPr defaultRowHeight="15.6"/>
  <cols>
    <col min="1" max="1" width="11.5" style="19" bestFit="1" customWidth="1"/>
    <col min="2" max="2" width="9.19921875" style="19" bestFit="1" customWidth="1"/>
    <col min="3" max="3" width="17.3984375" style="23" bestFit="1" customWidth="1"/>
    <col min="4" max="4" width="11.69921875" style="23" customWidth="1"/>
    <col min="5" max="5" width="10.69921875" style="23" customWidth="1"/>
    <col min="6" max="6" width="13.3984375" style="23" customWidth="1"/>
    <col min="7" max="8" width="17.3984375" style="23" customWidth="1"/>
    <col min="9" max="9" width="2.8984375" style="20" customWidth="1"/>
    <col min="10" max="11" width="18.69921875" style="10" customWidth="1"/>
    <col min="12" max="12" width="5.69921875" style="11" customWidth="1"/>
    <col min="13" max="14" width="18.69921875" style="11" customWidth="1"/>
    <col min="15" max="15" width="5.69921875" style="11" customWidth="1"/>
    <col min="16" max="17" width="10.69921875" style="38" customWidth="1"/>
    <col min="18" max="21" width="18.69921875" style="3" customWidth="1"/>
    <col min="22" max="22" width="5.69921875" style="32" customWidth="1"/>
    <col min="23" max="24" width="10.69921875" style="38" customWidth="1"/>
    <col min="25" max="28" width="18.69921875" style="3" customWidth="1"/>
    <col min="29" max="16384" width="8.796875" style="20"/>
  </cols>
  <sheetData>
    <row r="1" spans="1:28" s="29" customFormat="1" ht="16.2">
      <c r="A1" s="27"/>
      <c r="B1" s="27"/>
      <c r="C1" s="1"/>
      <c r="D1" s="1"/>
      <c r="E1" s="1"/>
      <c r="F1" s="1"/>
      <c r="G1" s="1"/>
      <c r="H1" s="1"/>
      <c r="I1" s="28"/>
      <c r="J1" s="28" t="s">
        <v>14</v>
      </c>
      <c r="K1" s="10"/>
      <c r="L1" s="11"/>
      <c r="M1" s="11"/>
      <c r="N1" s="11"/>
      <c r="O1" s="11"/>
      <c r="P1" s="35"/>
      <c r="Q1" s="35"/>
      <c r="R1" s="30"/>
      <c r="S1" s="30"/>
      <c r="T1" s="30"/>
      <c r="U1" s="30"/>
      <c r="V1" s="31"/>
      <c r="W1" s="35"/>
      <c r="X1" s="35"/>
      <c r="Y1" s="30"/>
      <c r="Z1" s="30"/>
      <c r="AA1" s="30"/>
      <c r="AB1" s="30"/>
    </row>
    <row r="2" spans="1:28" s="29" customFormat="1">
      <c r="C2" s="1"/>
      <c r="D2" s="1"/>
      <c r="E2" s="1"/>
      <c r="F2" s="1"/>
      <c r="G2" s="1"/>
      <c r="H2" s="1"/>
      <c r="J2" s="10"/>
      <c r="K2" s="10"/>
      <c r="L2" s="11"/>
      <c r="M2" s="11"/>
      <c r="N2" s="11"/>
      <c r="O2" s="11"/>
      <c r="P2" s="36"/>
      <c r="Q2" s="36"/>
      <c r="R2" s="30"/>
      <c r="S2" s="30"/>
      <c r="T2" s="30"/>
      <c r="U2" s="30"/>
      <c r="V2" s="31"/>
      <c r="W2" s="36"/>
      <c r="X2" s="36"/>
      <c r="Y2" s="30"/>
      <c r="Z2" s="30"/>
      <c r="AA2" s="30"/>
      <c r="AB2" s="30"/>
    </row>
    <row r="3" spans="1:28" s="40" customFormat="1" ht="16.2">
      <c r="A3" s="2" t="s">
        <v>0</v>
      </c>
      <c r="B3" s="2" t="s">
        <v>1</v>
      </c>
      <c r="C3" s="2" t="s">
        <v>2</v>
      </c>
      <c r="D3" s="2" t="s">
        <v>10</v>
      </c>
      <c r="E3" s="2" t="s">
        <v>11</v>
      </c>
      <c r="F3" s="2" t="s">
        <v>23</v>
      </c>
      <c r="G3" s="2" t="s">
        <v>27</v>
      </c>
      <c r="H3" s="2" t="s">
        <v>7</v>
      </c>
      <c r="I3" s="39"/>
      <c r="J3" s="41" t="s">
        <v>4</v>
      </c>
      <c r="K3" s="41" t="s">
        <v>5</v>
      </c>
      <c r="L3" s="42"/>
      <c r="M3" s="12" t="s">
        <v>26</v>
      </c>
      <c r="N3" s="12" t="s">
        <v>3</v>
      </c>
      <c r="O3" s="43"/>
      <c r="P3" s="44" t="s">
        <v>15</v>
      </c>
      <c r="Q3" s="44" t="s">
        <v>16</v>
      </c>
      <c r="R3" s="45" t="s">
        <v>19</v>
      </c>
      <c r="S3" s="45" t="s">
        <v>20</v>
      </c>
      <c r="T3" s="45" t="s">
        <v>21</v>
      </c>
      <c r="U3" s="45" t="s">
        <v>22</v>
      </c>
      <c r="V3" s="46"/>
      <c r="W3" s="44" t="s">
        <v>17</v>
      </c>
      <c r="X3" s="44" t="s">
        <v>18</v>
      </c>
      <c r="Y3" s="45" t="s">
        <v>19</v>
      </c>
      <c r="Z3" s="45" t="s">
        <v>20</v>
      </c>
      <c r="AA3" s="45" t="s">
        <v>21</v>
      </c>
      <c r="AB3" s="45" t="s">
        <v>22</v>
      </c>
    </row>
    <row r="4" spans="1:28">
      <c r="A4" s="22"/>
      <c r="B4" s="21" t="e">
        <f>VLOOKUP(A4,#REF!,3,FALSE)</f>
        <v>#REF!</v>
      </c>
      <c r="C4" s="6" t="e">
        <f>INDEX(#REF!,MATCH($A4,#REF!,FALSE))</f>
        <v>#REF!</v>
      </c>
      <c r="D4" s="7" t="e">
        <f>ROUND(K4/M4*$C4,0)</f>
        <v>#REF!</v>
      </c>
      <c r="E4" s="7" t="e">
        <f>ROUND(K4/M4*N4,0)</f>
        <v>#REF!</v>
      </c>
      <c r="F4" s="8" t="e">
        <f>ROUND((U4+AB4)/2,0)</f>
        <v>#REF!</v>
      </c>
      <c r="G4" s="9">
        <f>IF(ISERR(D4/F4),100,D4/F4)</f>
        <v>100</v>
      </c>
      <c r="H4" s="9">
        <f>IF(ISERROR(365/G4),0,365/G4)</f>
        <v>3.65</v>
      </c>
      <c r="I4" s="3"/>
      <c r="J4" s="13">
        <f>SUMIF(各月狀況表base!C:C,A4,各月狀況表base!H:H)</f>
        <v>0</v>
      </c>
      <c r="K4" s="13">
        <f>SUMIF(各月狀況表base!C:C,A4,各月狀況表base!I:I)</f>
        <v>0</v>
      </c>
      <c r="L4" s="14"/>
      <c r="M4" s="47" t="e">
        <f>VLOOKUP(A4,#REF!,12,FALSE)</f>
        <v>#REF!</v>
      </c>
      <c r="N4" s="33" t="e">
        <f>VLOOKUP(A4,#REF!,13,FALSE)</f>
        <v>#REF!</v>
      </c>
      <c r="O4" s="16"/>
      <c r="P4" s="37">
        <f>$P$1</f>
        <v>0</v>
      </c>
      <c r="Q4" s="37">
        <f>$Q$1</f>
        <v>0</v>
      </c>
      <c r="R4" s="33" t="e">
        <f>SUMIFS(#REF!,#REF!,P4,#REF!,Q4,#REF!,A4)</f>
        <v>#REF!</v>
      </c>
      <c r="S4" s="33" t="e">
        <f>ROUND((R4/M4)*C4,0)</f>
        <v>#REF!</v>
      </c>
      <c r="T4" s="33" t="e">
        <f>SUMIFS(#REF!,#REF!,P4,#REF!,Q4,#REF!,A4)</f>
        <v>#REF!</v>
      </c>
      <c r="U4" s="33" t="e">
        <f>S4-T4</f>
        <v>#REF!</v>
      </c>
      <c r="W4" s="37">
        <f>$W$1</f>
        <v>0</v>
      </c>
      <c r="X4" s="37">
        <f>$X$1</f>
        <v>0</v>
      </c>
      <c r="Y4" s="33" t="e">
        <f>SUMIFS(#REF!,#REF!,W4,#REF!,X4,#REF!,A4)</f>
        <v>#REF!</v>
      </c>
      <c r="Z4" s="33" t="e">
        <f>ROUND((Y4/M4)*C4,0)</f>
        <v>#REF!</v>
      </c>
      <c r="AA4" s="33" t="e">
        <f>SUMIFS(#REF!,#REF!,W4,#REF!,X4,#REF!,A4)</f>
        <v>#REF!</v>
      </c>
      <c r="AB4" s="33" t="e">
        <f>Z4-AA4</f>
        <v>#REF!</v>
      </c>
    </row>
    <row r="5" spans="1:28">
      <c r="A5" s="21"/>
      <c r="B5" s="21"/>
      <c r="C5" s="6"/>
      <c r="D5" s="7"/>
      <c r="E5" s="7"/>
      <c r="F5" s="8"/>
      <c r="G5" s="9"/>
      <c r="H5" s="9"/>
      <c r="I5" s="3"/>
      <c r="J5" s="13"/>
      <c r="K5" s="13"/>
      <c r="L5" s="14"/>
      <c r="M5" s="15"/>
      <c r="N5" s="15"/>
    </row>
    <row r="6" spans="1:28">
      <c r="A6" s="21"/>
      <c r="B6" s="21"/>
      <c r="C6" s="6"/>
      <c r="D6" s="7"/>
      <c r="E6" s="7"/>
      <c r="F6" s="8"/>
      <c r="G6" s="9"/>
      <c r="H6" s="9"/>
      <c r="I6" s="3"/>
      <c r="J6" s="17"/>
      <c r="K6" s="17"/>
      <c r="L6" s="14"/>
      <c r="M6" s="15"/>
      <c r="N6" s="15"/>
    </row>
    <row r="7" spans="1:28">
      <c r="D7" s="24"/>
      <c r="E7" s="24"/>
      <c r="F7" s="24"/>
      <c r="J7" s="18"/>
      <c r="K7" s="18"/>
      <c r="L7" s="14"/>
      <c r="M7" s="14"/>
      <c r="N7" s="14"/>
    </row>
    <row r="8" spans="1:28">
      <c r="D8" s="24"/>
      <c r="E8" s="24"/>
      <c r="F8" s="24"/>
      <c r="J8" s="18"/>
      <c r="K8" s="18"/>
      <c r="L8" s="14"/>
      <c r="M8" s="14"/>
      <c r="N8" s="14"/>
    </row>
    <row r="9" spans="1:28">
      <c r="D9" s="24"/>
      <c r="E9" s="24"/>
      <c r="F9" s="24"/>
    </row>
    <row r="10" spans="1:28">
      <c r="D10" s="24"/>
      <c r="E10" s="24"/>
      <c r="F10" s="24"/>
    </row>
    <row r="11" spans="1:28">
      <c r="D11" s="24"/>
      <c r="E11" s="24"/>
      <c r="F11" s="24"/>
    </row>
    <row r="12" spans="1:28">
      <c r="D12" s="24"/>
      <c r="E12" s="24"/>
      <c r="F12" s="24"/>
    </row>
    <row r="13" spans="1:28">
      <c r="D13" s="24"/>
      <c r="E13" s="24"/>
      <c r="F13" s="24"/>
    </row>
    <row r="14" spans="1:28" ht="16.2">
      <c r="C14" s="25"/>
      <c r="D14" s="26"/>
      <c r="E14" s="24"/>
      <c r="F14" s="24"/>
    </row>
    <row r="15" spans="1:28" ht="16.2">
      <c r="C15" s="25"/>
      <c r="D15" s="7"/>
      <c r="E15" s="24"/>
      <c r="F15" s="24"/>
    </row>
  </sheetData>
  <autoFilter ref="A3:AB3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工作表欄位設定表</vt:lpstr>
      <vt:lpstr>TEST1</vt:lpstr>
      <vt:lpstr>各月狀況表base</vt:lpstr>
      <vt:lpstr>累計狀況表base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Cherry Hsieh 謝嘉雲</dc:creator>
  <cp:lastModifiedBy>Bruce Chen 陳彥錡</cp:lastModifiedBy>
  <cp:lastPrinted>2022-05-24T09:02:44Z</cp:lastPrinted>
  <dcterms:created xsi:type="dcterms:W3CDTF">2022-04-25T05:37:49Z</dcterms:created>
  <dcterms:modified xsi:type="dcterms:W3CDTF">2023-04-17T04:02:59Z</dcterms:modified>
</cp:coreProperties>
</file>